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説明" sheetId="1" state="visible" r:id="rId1"/>
    <sheet name="要件定義(metadata-def.json)" sheetId="2" state="visible" r:id="rId2"/>
    <sheet name="要件定義(catalog.schema.json)" sheetId="3" state="visible" r:id="rId3"/>
    <sheet name="要件定義(invoice.schema.json)" sheetId="4" state="visible" r:id="rId4"/>
    <sheet name="dict.term" sheetId="5" state="hidden" r:id="rId5"/>
    <sheet name="sample.general_sample_term" sheetId="6" state="hidden" r:id="rId6"/>
    <sheet name="sample.sample_class" sheetId="7" state="hidden" r:id="rId7"/>
    <sheet name="sample.specific_sample_term" sheetId="8" state="hidden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BIZ UDPゴシック"/>
    </font>
    <font>
      <name val="BIZ UDPゴシック"/>
      <b val="1"/>
      <color rgb="00000000"/>
    </font>
    <font>
      <name val="BIZ UDPゴシック"/>
      <color rgb="00FFFFFF"/>
    </font>
  </fonts>
  <fills count="6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CE4D6"/>
      </patternFill>
    </fill>
    <fill>
      <patternFill patternType="solid">
        <fgColor rgb="002F75B5"/>
      </patternFill>
    </fill>
    <fill>
      <patternFill patternType="solid">
        <fgColor rgb="00595959"/>
      </patternFill>
    </fill>
  </fills>
  <borders count="11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ck">
        <color rgb="000000FF"/>
      </left>
    </border>
    <border>
      <right style="thick">
        <color rgb="000000FF"/>
      </right>
    </border>
    <border>
      <left style="thick">
        <color rgb="000000FF"/>
      </left>
      <top style="thick">
        <color rgb="000000FF"/>
      </top>
    </border>
    <border>
      <right style="thick">
        <color rgb="000000FF"/>
      </right>
      <top style="thick">
        <color rgb="000000FF"/>
      </top>
    </border>
    <border>
      <left style="thick">
        <color rgb="000000FF"/>
      </left>
      <bottom style="thick">
        <color rgb="000000FF"/>
      </bottom>
    </border>
    <border>
      <right style="thick">
        <color rgb="000000FF"/>
      </right>
      <bottom style="thick">
        <color rgb="000000FF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3" borderId="2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0" borderId="6" pivotButton="0" quotePrefix="0" xfId="0"/>
    <xf numFmtId="0" fontId="0" fillId="0" borderId="7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center"/>
    </xf>
    <xf numFmtId="0" fontId="2" fillId="4" borderId="1" pivotButton="0" quotePrefix="0" xfId="0"/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wrapText="1"/>
    </xf>
    <xf numFmtId="0" fontId="0" fillId="2" borderId="1" applyAlignment="1" pivotButton="0" quotePrefix="0" xfId="0">
      <alignment vertical="top"/>
    </xf>
    <xf numFmtId="0" fontId="0" fillId="5" borderId="1" pivotButton="0" quotePrefix="0" xfId="0"/>
    <xf numFmtId="0" fontId="0" fillId="5" borderId="1" applyAlignment="1" pivotButton="0" quotePrefix="0" xfId="0">
      <alignment wrapText="1"/>
    </xf>
    <xf numFmtId="0" fontId="0" fillId="0" borderId="9" pivotButton="0" quotePrefix="0" xfId="0"/>
    <xf numFmtId="0" fontId="0" fillId="0" borderId="10" pivotButton="0" quotePrefix="0" xfId="0"/>
    <xf numFmtId="0" fontId="0" fillId="4" borderId="1" pivotButton="0" quotePrefix="0" xfId="0"/>
  </cellXfs>
  <cellStyles count="1">
    <cellStyle name="Normal" xfId="0" builtinId="0" hidden="0"/>
  </cellStyles>
  <dxfs count="5">
    <dxf>
      <font>
        <name val="BIZ UDPゴシック"/>
        <color rgb="00FFFFFF"/>
      </font>
      <fill>
        <patternFill patternType="solid">
          <fgColor rgb="0000BD50"/>
          <bgColor rgb="0000BD50"/>
        </patternFill>
      </fill>
    </dxf>
    <dxf>
      <font>
        <name val="BIZ UDPゴシック"/>
        <color rgb="00FFFFFF"/>
      </font>
      <fill>
        <patternFill patternType="solid">
          <fgColor rgb="00595959"/>
          <bgColor rgb="00595959"/>
        </patternFill>
      </fill>
    </dxf>
    <dxf>
      <fill>
        <patternFill patternType="solid">
          <fgColor rgb="00FF0000"/>
          <bgColor rgb="00FF0000"/>
        </patternFill>
      </fill>
    </dxf>
    <dxf>
      <fill>
        <patternFill patternType="solid">
          <fgColor rgb="00FCE4D6"/>
          <bgColor rgb="00FCE4D6"/>
        </patternFill>
      </fill>
    </dxf>
    <dxf>
      <fill>
        <patternFill patternType="solid">
          <fgColor rgb="00595959"/>
          <bgColor rgb="0059595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tabSelected="0" workbookViewId="0">
      <selection activeCell="A1" sqref="A1"/>
    </sheetView>
  </sheetViews>
  <sheetFormatPr baseColWidth="8" defaultRowHeight="15"/>
  <cols>
    <col width="31" customWidth="1" min="1" max="1"/>
    <col width="33.25" customWidth="1" min="2" max="2"/>
    <col width="41.88" customWidth="1" min="3" max="3"/>
    <col width="63" customWidth="1" min="6" max="6"/>
  </cols>
  <sheetData>
    <row r="1" ht="18.75" customHeight="1">
      <c r="A1" s="1" t="inlineStr">
        <is>
          <t>データセットテンプレート名</t>
        </is>
      </c>
      <c r="B1" s="2" t="inlineStr">
        <is>
          <t>None</t>
        </is>
      </c>
      <c r="C1" s="3" t="inlineStr">
        <is>
          <t>各定義ファイルのdescriptionに利用されます</t>
        </is>
      </c>
    </row>
    <row r="2" ht="18.75" customHeight="1">
      <c r="A2" s="1" t="inlineStr">
        <is>
          <t>データセットテンプレート名(英)</t>
        </is>
      </c>
      <c r="B2" s="2" t="inlineStr">
        <is>
          <t>None</t>
        </is>
      </c>
      <c r="C2" s="3" t="inlineStr">
        <is>
          <t>各定義ファイルのdescriptionに利用されます</t>
        </is>
      </c>
    </row>
    <row r="3" ht="18.75" customHeight="1">
      <c r="A3" s="1" t="inlineStr">
        <is>
          <t>データセットテンプレートID</t>
        </is>
      </c>
      <c r="B3" s="2" t="inlineStr">
        <is>
          <t>c</t>
        </is>
      </c>
      <c r="C3" s="3" t="inlineStr">
        <is>
          <t>$idで利用されます</t>
        </is>
      </c>
    </row>
    <row r="4" ht="18.75" customHeight="1">
      <c r="A4" s="1" t="inlineStr">
        <is>
          <t>概要</t>
        </is>
      </c>
      <c r="B4" s="3" t="inlineStr">
        <is>
          <t>RDEトライアルデータセットテンプレート-1</t>
        </is>
      </c>
      <c r="C4" s="3" t="inlineStr"/>
    </row>
    <row r="5" ht="18.75" customHeight="1">
      <c r="A5" t="inlineStr"/>
      <c r="B5" t="inlineStr"/>
      <c r="C5" t="inlineStr"/>
    </row>
    <row r="6" ht="18.75" customHeight="1">
      <c r="A6" s="1" t="inlineStr">
        <is>
          <t>作成日</t>
        </is>
      </c>
      <c r="B6" s="3" t="inlineStr"/>
      <c r="C6" s="3" t="inlineStr"/>
    </row>
    <row r="7" ht="18.75" customHeight="1">
      <c r="A7" s="1" t="inlineStr">
        <is>
          <t>作成者</t>
        </is>
      </c>
      <c r="B7" s="3" t="inlineStr"/>
      <c r="C7" s="3" t="inlineStr"/>
    </row>
    <row r="8" ht="18.75" customHeight="1">
      <c r="A8" s="1" t="inlineStr">
        <is>
          <t>最終更新日</t>
        </is>
      </c>
      <c r="B8" s="3" t="inlineStr"/>
      <c r="C8" s="3" t="inlineStr"/>
    </row>
    <row r="9" ht="18.75" customHeight="1">
      <c r="A9" s="1" t="inlineStr">
        <is>
          <t>最終更新者</t>
        </is>
      </c>
      <c r="B9" s="3" t="inlineStr"/>
      <c r="C9" s="3" t="inlineStr"/>
    </row>
    <row r="10" ht="18.75" customHeight="1"/>
    <row r="11" ht="18.75" customHeight="1">
      <c r="A11" t="inlineStr">
        <is>
          <t>ver.2026.01.20(e)</t>
        </is>
      </c>
      <c r="B11" t="inlineStr">
        <is>
          <t>シートレイアウトバージョン または template2excelツールのバージョン</t>
        </is>
      </c>
    </row>
    <row r="12" ht="18.75" customHeight="1"/>
    <row r="13" ht="18.75" customHeight="1">
      <c r="A13" s="4" t="inlineStr">
        <is>
          <t>【説明】</t>
        </is>
      </c>
      <c r="B13" s="5" t="inlineStr"/>
    </row>
    <row r="14" ht="18.75" customHeight="1">
      <c r="A14" s="6" t="inlineStr"/>
      <c r="B14" s="7" t="inlineStr"/>
    </row>
    <row r="15" ht="18.75" customHeight="1">
      <c r="A15" s="6" t="inlineStr">
        <is>
          <t>このExcelファイルは、excel2template.exeの入力ファイルです。</t>
        </is>
      </c>
      <c r="B15" s="7" t="inlineStr"/>
    </row>
    <row r="16" ht="18.75" customHeight="1">
      <c r="A16" s="6" t="inlineStr">
        <is>
          <t>次の4つのシートで構成されています。</t>
        </is>
      </c>
      <c r="B16" s="7" t="inlineStr"/>
    </row>
    <row r="17" ht="18.75" customHeight="1">
      <c r="A17" s="6" t="inlineStr"/>
      <c r="B17" s="7" t="inlineStr"/>
    </row>
    <row r="18" ht="18.75" customHeight="1">
      <c r="A18" s="6" t="inlineStr">
        <is>
          <t>・説明</t>
        </is>
      </c>
      <c r="B18" s="7" t="inlineStr"/>
    </row>
    <row r="19" ht="18.75" customHeight="1">
      <c r="A19" s="6" t="inlineStr">
        <is>
          <t>・要件定義(metadata-def.json)</t>
        </is>
      </c>
      <c r="B19" s="7" t="inlineStr"/>
    </row>
    <row r="20" ht="18.75" customHeight="1">
      <c r="A20" s="6" t="inlineStr">
        <is>
          <t>・要件定義(catalog.schema.json)</t>
        </is>
      </c>
      <c r="B20" s="7" t="inlineStr"/>
    </row>
    <row r="21" ht="18.75" customHeight="1">
      <c r="A21" s="6" t="inlineStr">
        <is>
          <t>・要件定義(invoice.schema.json)</t>
        </is>
      </c>
      <c r="B21" s="7" t="inlineStr"/>
    </row>
    <row r="22" ht="18.75" customHeight="1">
      <c r="A22" s="6" t="inlineStr"/>
      <c r="B22" s="7" t="inlineStr"/>
    </row>
    <row r="23" ht="18.75" customHeight="1">
      <c r="A23" s="6" t="inlineStr">
        <is>
          <t>セルの色には以下の意味があります。</t>
        </is>
      </c>
      <c r="B23" s="7" t="inlineStr"/>
    </row>
    <row r="24" ht="18.75" customHeight="1">
      <c r="A24" s="6" t="inlineStr"/>
      <c r="B24" s="7" t="inlineStr"/>
    </row>
    <row r="25" ht="18.75" customHeight="1">
      <c r="A25" s="8" t="inlineStr"/>
      <c r="B25" s="7" t="inlineStr">
        <is>
          <t xml:space="preserve">  必須記入欄</t>
        </is>
      </c>
    </row>
    <row r="26" ht="18.75" customHeight="1">
      <c r="A26" s="6" t="inlineStr"/>
      <c r="B26" s="7" t="inlineStr">
        <is>
          <t xml:space="preserve">  オプション記入欄(場合によって記入)</t>
        </is>
      </c>
    </row>
    <row r="27" ht="18.75" customHeight="1">
      <c r="A27" s="9" t="inlineStr"/>
      <c r="B27" s="7" t="inlineStr">
        <is>
          <t xml:space="preserve">  自動記入欄(ユーザは入力不要)</t>
        </is>
      </c>
    </row>
    <row r="28" ht="18.75" customHeight="1">
      <c r="A28" s="10" t="inlineStr"/>
      <c r="B28" s="7" t="inlineStr">
        <is>
          <t xml:space="preserve">  記入不要欄(入力不要)</t>
        </is>
      </c>
    </row>
    <row r="29" ht="18.75" customHeight="1">
      <c r="A29" s="6" t="inlineStr"/>
      <c r="B29" s="7" t="inlineStr"/>
    </row>
    <row r="30" ht="18.75" customHeight="1">
      <c r="A30" s="6" t="inlineStr"/>
      <c r="B30" s="7" t="inlineStr"/>
    </row>
    <row r="31" ht="18.75" customHeight="1">
      <c r="A31" s="6" t="inlineStr">
        <is>
          <t>列の削除は禁止です。</t>
        </is>
      </c>
      <c r="B31" s="7" t="inlineStr"/>
    </row>
    <row r="32" ht="18.75" customHeight="1">
      <c r="A32" s="11" t="inlineStr">
        <is>
          <t>また、必須項目が入力されていない場合はエラーになるので必ず記入をお願いします。</t>
        </is>
      </c>
      <c r="B32" s="12" t="inlineStr"/>
    </row>
    <row r="33" ht="18.75" customHeight="1"/>
    <row r="34" ht="18.75" customHeight="1"/>
    <row r="35" ht="18.75" customHeight="1"/>
    <row r="36" ht="18.75" customHeight="1"/>
    <row r="37" ht="18.75" customHeight="1"/>
    <row r="38" ht="18.75" customHeight="1"/>
    <row r="39" ht="18.75" customHeight="1"/>
    <row r="40" ht="18.75" customHeight="1"/>
    <row r="41" ht="18.75" customHeight="1"/>
    <row r="42" ht="18.75" customHeight="1"/>
    <row r="43" ht="18.75" customHeight="1"/>
    <row r="44" ht="18.75" customHeight="1"/>
    <row r="45" ht="18.75" customHeight="1"/>
    <row r="46" ht="18.75" customHeight="1"/>
    <row r="47" ht="18.75" customHeight="1"/>
    <row r="48" ht="18.75" customHeight="1"/>
    <row r="49" ht="18.75" customHeight="1"/>
    <row r="50" ht="18.75" customHeight="1"/>
    <row r="51" ht="18.75" customHeight="1"/>
    <row r="52" ht="18.75" customHeight="1"/>
    <row r="53" ht="18.75" customHeight="1"/>
    <row r="54" ht="18.75" customHeight="1"/>
    <row r="55" ht="18.75" customHeight="1"/>
    <row r="56" ht="18.75" customHeight="1"/>
    <row r="57" ht="18.75" customHeight="1"/>
    <row r="58" ht="18.75" customHeight="1"/>
    <row r="59" ht="18.75" customHeight="1"/>
    <row r="60" ht="18.75" customHeight="1"/>
    <row r="61" ht="18.75" customHeight="1"/>
    <row r="62" ht="18.75" customHeight="1"/>
    <row r="63" ht="18.75" customHeight="1"/>
    <row r="64" ht="18.75" customHeight="1"/>
    <row r="65" ht="18.75" customHeight="1"/>
    <row r="66" ht="18.75" customHeight="1"/>
    <row r="67" ht="18.75" customHeight="1"/>
    <row r="68" ht="18.75" customHeight="1"/>
    <row r="69" ht="18.75" customHeight="1"/>
    <row r="70" ht="18.75" customHeight="1"/>
    <row r="71" ht="18.75" customHeight="1"/>
    <row r="72" ht="18.75" customHeight="1"/>
    <row r="73" ht="18.75" customHeight="1"/>
    <row r="74" ht="18.75" customHeight="1"/>
    <row r="75" ht="18.75" customHeight="1"/>
    <row r="76" ht="18.75" customHeight="1"/>
    <row r="77" ht="18.75" customHeight="1"/>
    <row r="78" ht="18.75" customHeight="1"/>
    <row r="79" ht="18.75" customHeight="1"/>
    <row r="80" ht="18.75" customHeight="1"/>
    <row r="81" ht="18.75" customHeight="1"/>
    <row r="82" ht="18.75" customHeight="1"/>
    <row r="83" ht="18.75" customHeight="1"/>
    <row r="84" ht="18.75" customHeight="1"/>
    <row r="85" ht="18.75" customHeight="1"/>
    <row r="86" ht="18.75" customHeight="1"/>
    <row r="87" ht="18.75" customHeight="1"/>
    <row r="88" ht="18.75" customHeight="1"/>
    <row r="89" ht="18.75" customHeight="1"/>
    <row r="90" ht="18.75" customHeight="1"/>
    <row r="91" ht="18.75" customHeight="1"/>
    <row r="92" ht="18.75" customHeight="1"/>
    <row r="93" ht="18.75" customHeight="1"/>
    <row r="94" ht="18.75" customHeight="1"/>
    <row r="95" ht="18.75" customHeight="1"/>
    <row r="96" ht="18.75" customHeight="1"/>
    <row r="97" ht="18.75" customHeight="1"/>
    <row r="98" ht="18.75" customHeight="1"/>
    <row r="99" ht="18.75" customHeight="1"/>
    <row r="100" ht="18.75" customHeight="1"/>
    <row r="101" ht="18.75" customHeight="1"/>
    <row r="102" ht="18.75" customHeight="1"/>
    <row r="103" ht="18.75" customHeight="1"/>
    <row r="104" ht="18.75" customHeight="1"/>
    <row r="105" ht="18.75" customHeight="1"/>
    <row r="106" ht="18.75" customHeight="1"/>
    <row r="107" ht="18.75" customHeight="1"/>
    <row r="108" ht="18.75" customHeight="1"/>
    <row r="109" ht="18.75" customHeight="1"/>
    <row r="110" ht="18.75" customHeight="1"/>
    <row r="111" ht="18.75" customHeight="1"/>
    <row r="112" ht="18.75" customHeight="1"/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  <row r="141" ht="18.75" customHeight="1"/>
    <row r="142" ht="18.75" customHeight="1"/>
    <row r="143" ht="18.75" customHeight="1"/>
    <row r="144" ht="18.75" customHeight="1"/>
    <row r="145" ht="18.75" customHeight="1"/>
    <row r="146" ht="18.75" customHeight="1"/>
    <row r="147" ht="18.75" customHeight="1"/>
    <row r="148" ht="18.75" customHeight="1"/>
    <row r="149" ht="18.75" customHeight="1"/>
    <row r="150" ht="18.75" customHeight="1"/>
    <row r="151" ht="18.75" customHeight="1"/>
    <row r="152" ht="18.75" customHeight="1"/>
    <row r="153" ht="18.75" customHeight="1"/>
    <row r="154" ht="18.75" customHeight="1"/>
    <row r="155" ht="18.75" customHeight="1"/>
    <row r="156" ht="18.75" customHeight="1"/>
    <row r="157" ht="18.75" customHeight="1"/>
    <row r="158" ht="18.75" customHeight="1"/>
    <row r="159" ht="18.75" customHeight="1"/>
    <row r="160" ht="18.75" customHeight="1"/>
    <row r="161" ht="18.75" customHeight="1"/>
    <row r="162" ht="18.75" customHeight="1"/>
    <row r="163" ht="18.75" customHeight="1"/>
    <row r="164" ht="18.75" customHeight="1"/>
    <row r="165" ht="18.75" customHeight="1"/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  <row r="951" ht="18.75" customHeight="1"/>
    <row r="952" ht="18.75" customHeight="1"/>
    <row r="953" ht="18.75" customHeight="1"/>
    <row r="954" ht="18.75" customHeight="1"/>
    <row r="955" ht="18.75" customHeight="1"/>
    <row r="956" ht="18.75" customHeight="1"/>
    <row r="957" ht="18.75" customHeight="1"/>
    <row r="958" ht="18.75" customHeight="1"/>
    <row r="959" ht="18.75" customHeight="1"/>
    <row r="960" ht="18.75" customHeight="1"/>
    <row r="961" ht="18.75" customHeight="1"/>
    <row r="962" ht="18.75" customHeight="1"/>
    <row r="963" ht="18.75" customHeight="1"/>
    <row r="964" ht="18.75" customHeight="1"/>
    <row r="965" ht="18.75" customHeight="1"/>
    <row r="966" ht="18.75" customHeight="1"/>
    <row r="967" ht="18.75" customHeight="1"/>
    <row r="968" ht="18.75" customHeight="1"/>
    <row r="969" ht="18.75" customHeight="1"/>
    <row r="970" ht="18.75" customHeight="1"/>
    <row r="971" ht="18.75" customHeight="1"/>
    <row r="972" ht="18.75" customHeight="1"/>
    <row r="973" ht="18.75" customHeight="1"/>
    <row r="974" ht="18.75" customHeight="1"/>
    <row r="975" ht="18.75" customHeight="1"/>
    <row r="976" ht="18.75" customHeight="1"/>
    <row r="977" ht="18.75" customHeight="1"/>
    <row r="978" ht="18.75" customHeight="1"/>
    <row r="979" ht="18.75" customHeight="1"/>
    <row r="980" ht="18.75" customHeight="1"/>
    <row r="981" ht="18.75" customHeight="1"/>
    <row r="982" ht="18.75" customHeight="1"/>
    <row r="983" ht="18.75" customHeight="1"/>
    <row r="984" ht="18.75" customHeight="1"/>
    <row r="985" ht="18.75" customHeight="1"/>
    <row r="986" ht="18.75" customHeight="1"/>
    <row r="987" ht="18.75" customHeight="1"/>
    <row r="988" ht="18.75" customHeight="1"/>
    <row r="989" ht="18.75" customHeight="1"/>
    <row r="990" ht="18.75" customHeight="1"/>
    <row r="991" ht="18.75" customHeight="1"/>
    <row r="992" ht="18.75" customHeight="1"/>
    <row r="993" ht="18.75" customHeight="1"/>
    <row r="994" ht="18.75" customHeight="1"/>
    <row r="995" ht="18.75" customHeight="1"/>
    <row r="996" ht="18.75" customHeight="1"/>
    <row r="997" ht="18.75" customHeight="1"/>
    <row r="998" ht="18.75" customHeight="1"/>
    <row r="999" ht="18.75" customHeight="1"/>
    <row r="1000" ht="18.75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0"/>
  <sheetViews>
    <sheetView tabSelected="0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65" customWidth="1" min="3" max="3"/>
    <col width="15" customWidth="1" min="4" max="4"/>
    <col width="30" customWidth="1" min="5" max="5"/>
    <col width="30" customWidth="1" min="6" max="6"/>
    <col width="30" customWidth="1" min="7" max="7"/>
    <col width="55" customWidth="1" min="8" max="8"/>
    <col width="15" customWidth="1" min="9" max="9"/>
    <col width="15" customWidth="1" min="10" max="10"/>
    <col width="15" customWidth="1" min="11" max="11"/>
    <col width="15" customWidth="1" min="12" max="12"/>
    <col width="10" customWidth="1" min="13" max="13"/>
    <col width="15" customWidth="1" min="14" max="14"/>
    <col width="20" customWidth="1" min="15" max="15"/>
    <col width="10" customWidth="1" min="16" max="16"/>
    <col width="15" customWidth="1" min="17" max="17"/>
    <col width="15" customWidth="1" min="18" max="18"/>
    <col width="50" customWidth="1" min="19" max="19"/>
  </cols>
  <sheetData>
    <row r="1" ht="18.75" customHeight="1">
      <c r="A1" s="13" t="inlineStr">
        <is>
          <t>category</t>
        </is>
      </c>
      <c r="B1" s="13" t="inlineStr">
        <is>
          <t>output</t>
        </is>
      </c>
      <c r="C1" s="13" t="inlineStr">
        <is>
          <t>parameter_name</t>
        </is>
      </c>
      <c r="D1" s="13" t="inlineStr">
        <is>
          <t>order</t>
        </is>
      </c>
      <c r="E1" s="13" t="inlineStr">
        <is>
          <t>original_name</t>
        </is>
      </c>
      <c r="F1" s="13" t="inlineStr">
        <is>
          <t>original_type</t>
        </is>
      </c>
      <c r="G1" s="13" t="inlineStr">
        <is>
          <t>name/ja</t>
        </is>
      </c>
      <c r="H1" s="13" t="inlineStr">
        <is>
          <t>name/en</t>
        </is>
      </c>
      <c r="I1" s="13" t="inlineStr">
        <is>
          <t>taxonomy</t>
        </is>
      </c>
      <c r="J1" s="13" t="inlineStr">
        <is>
          <t>typeformat</t>
        </is>
      </c>
      <c r="K1" s="13" t="inlineStr">
        <is>
          <t>type</t>
        </is>
      </c>
      <c r="L1" s="13" t="inlineStr">
        <is>
          <t>format</t>
        </is>
      </c>
      <c r="M1" s="13" t="inlineStr">
        <is>
          <t>unit</t>
        </is>
      </c>
      <c r="N1" s="13" t="inlineStr">
        <is>
          <t>description</t>
        </is>
      </c>
      <c r="O1" s="13" t="inlineStr">
        <is>
          <t>uri</t>
        </is>
      </c>
      <c r="P1" s="13" t="inlineStr">
        <is>
          <t>mode</t>
        </is>
      </c>
      <c r="Q1" s="13" t="inlineStr">
        <is>
          <t>variable</t>
        </is>
      </c>
      <c r="R1" s="13" t="inlineStr">
        <is>
          <t>default</t>
        </is>
      </c>
      <c r="S1" s="13" t="inlineStr">
        <is>
          <t>sample</t>
        </is>
      </c>
    </row>
    <row r="2" ht="37.5" customHeight="1">
      <c r="A2" s="13" t="inlineStr">
        <is>
          <r>
            <t xml:space="preserve">カテゴリー
</t>
          </r>
          <r>
            <rPr>
              <b val="1"/>
              <color rgb="00000000"/>
            </rPr>
            <t>(自由記述)</t>
          </r>
        </is>
      </c>
      <c r="B2" s="13" t="inlineStr">
        <is>
          <r>
            <t xml:space="preserve">出力制御
</t>
          </r>
          <r>
            <rPr>
              <b val="1"/>
              <color rgb="00FF0000"/>
            </rPr>
            <t>(必ず選択)</t>
          </r>
        </is>
      </c>
      <c r="C2" s="13" t="inlineStr">
        <is>
          <r>
            <t xml:space="preserve">パラメータ名
</t>
          </r>
          <r>
            <rPr>
              <b val="1"/>
              <color rgb="00FF0000"/>
            </rPr>
            <t>(必ず記述)</t>
          </r>
        </is>
      </c>
      <c r="D2" s="13" t="inlineStr">
        <is>
          <r>
            <t>表示順</t>
          </r>
        </is>
      </c>
      <c r="E2" s="13" t="inlineStr">
        <is>
          <r>
            <t xml:space="preserve">装置出力
</t>
          </r>
          <r>
            <rPr>
              <b val="1"/>
              <color rgb="00000000"/>
            </rPr>
            <t>(自由記述)</t>
          </r>
        </is>
      </c>
      <c r="F2" s="13" t="inlineStr">
        <is>
          <r>
            <t xml:space="preserve">元のデータ型
</t>
          </r>
          <r>
            <rPr>
              <b val="1"/>
              <color rgb="00000000"/>
            </rPr>
            <t>(自由記述)</t>
          </r>
        </is>
      </c>
      <c r="G2" s="13" t="inlineStr">
        <is>
          <r>
            <t xml:space="preserve">項目名(日本語)
</t>
          </r>
          <r>
            <rPr>
              <b val="1"/>
              <color rgb="00FF0000"/>
            </rPr>
            <t>(必ず記述)</t>
          </r>
        </is>
      </c>
      <c r="H2" s="13" t="inlineStr">
        <is>
          <r>
            <t xml:space="preserve">項目名(英語)
</t>
          </r>
          <r>
            <rPr>
              <b val="1"/>
              <color rgb="00FF0000"/>
            </rPr>
            <t>(必ず記述)</t>
          </r>
        </is>
      </c>
      <c r="I2" s="13" t="inlineStr">
        <is>
          <r>
            <t xml:space="preserve">タクソノミー
</t>
          </r>
          <r>
            <rPr>
              <b val="1"/>
              <color rgb="00000000"/>
            </rPr>
            <t>(番号記述)</t>
          </r>
        </is>
      </c>
      <c r="J2" s="13" t="inlineStr">
        <is>
          <r>
            <t xml:space="preserve">データ形式
</t>
          </r>
          <r>
            <rPr>
              <b val="1"/>
              <color rgb="00FF0000"/>
            </rPr>
            <t>(必ず選択)</t>
          </r>
        </is>
      </c>
      <c r="K2" s="13" t="inlineStr">
        <is>
          <r>
            <t xml:space="preserve">データ型
</t>
          </r>
          <r>
            <rPr>
              <b val="1"/>
              <color rgb="00000000"/>
            </rPr>
            <t>(自動入力)</t>
          </r>
        </is>
      </c>
      <c r="L2" s="13" t="inlineStr">
        <is>
          <r>
            <t xml:space="preserve">フォーマット
</t>
          </r>
          <r>
            <rPr>
              <b val="1"/>
              <color rgb="00000000"/>
            </rPr>
            <t>(自動入力)</t>
          </r>
        </is>
      </c>
      <c r="M2" s="13" t="inlineStr">
        <is>
          <r>
            <t xml:space="preserve">単位
</t>
          </r>
          <r>
            <rPr>
              <b val="1"/>
              <color rgb="00000000"/>
            </rPr>
            <t>(自由記述)</t>
          </r>
        </is>
      </c>
      <c r="N2" s="13" t="inlineStr">
        <is>
          <r>
            <t xml:space="preserve">説明
</t>
          </r>
          <r>
            <rPr>
              <b val="1"/>
              <color rgb="00000000"/>
            </rPr>
            <t>(自由記述)</t>
          </r>
        </is>
      </c>
      <c r="O2" s="13" t="inlineStr">
        <is>
          <r>
            <t xml:space="preserve">URI
</t>
          </r>
          <r>
            <rPr>
              <b val="1"/>
              <color rgb="00000000"/>
            </rPr>
            <t>(自由記述)</t>
          </r>
        </is>
      </c>
      <c r="P2" s="13" t="inlineStr">
        <is>
          <r>
            <t xml:space="preserve">測定モード
</t>
          </r>
          <r>
            <rPr>
              <b val="1"/>
              <color rgb="00000000"/>
            </rPr>
            <t>(自由記述)</t>
          </r>
        </is>
      </c>
      <c r="Q2" s="13" t="inlineStr">
        <is>
          <r>
            <t xml:space="preserve">繰り返し
</t>
          </r>
          <r>
            <rPr>
              <b val="1"/>
              <color rgb="00000000"/>
            </rPr>
            <t>(選択リスト)</t>
          </r>
        </is>
      </c>
      <c r="R2" s="13" t="inlineStr">
        <is>
          <r>
            <t xml:space="preserve">固定値
</t>
          </r>
          <r>
            <rPr>
              <b val="1"/>
              <color rgb="00000000"/>
            </rPr>
            <t>(選択リスト)</t>
          </r>
        </is>
      </c>
      <c r="S2" s="13" t="inlineStr">
        <is>
          <r>
            <t>サンプル</t>
          </r>
        </is>
      </c>
    </row>
    <row r="3" ht="37.5" customHeight="1">
      <c r="A3" s="1" t="inlineStr">
        <is>
          <t>metadata</t>
        </is>
      </c>
      <c r="B3" s="14" t="inlineStr">
        <is>
          <t>ON</t>
        </is>
      </c>
      <c r="C3" s="2" t="inlineStr">
        <is>
          <t>data_title</t>
        </is>
      </c>
      <c r="D3" s="15" t="n">
        <v>1</v>
      </c>
      <c r="E3" s="3" t="inlineStr">
        <is>
          <t>data_title</t>
        </is>
      </c>
      <c r="F3" s="3" t="inlineStr"/>
      <c r="G3" s="2" t="inlineStr">
        <is>
          <t>データ名</t>
        </is>
      </c>
      <c r="H3" s="2" t="inlineStr">
        <is>
          <t>data title</t>
        </is>
      </c>
      <c r="I3" s="3" t="inlineStr"/>
      <c r="J3" s="2" t="inlineStr">
        <is>
          <t>string</t>
        </is>
      </c>
      <c r="K3" s="16">
        <f>_xlfn.IFS(ISBLANK(J3), "",J3="integer","integer",J3="number","number",J3="array","array",J3="boolean","boolean",TRUE,"string")</f>
        <v/>
      </c>
      <c r="L3" s="16">
        <f>_xlfn.IFS(J3="datetime","date-time",J3="duration","duration",TRUE,"")</f>
        <v/>
      </c>
      <c r="M3" s="3" t="inlineStr"/>
      <c r="N3" s="3" t="inlineStr"/>
      <c r="O3" s="3" t="inlineStr"/>
      <c r="P3" s="17" t="inlineStr">
        <is>
          <t>Derived from data</t>
        </is>
      </c>
      <c r="Q3" s="3" t="inlineStr"/>
      <c r="R3" s="3" t="inlineStr"/>
      <c r="S3" s="3" t="inlineStr"/>
    </row>
    <row r="4" ht="37.5" customHeight="1">
      <c r="A4" s="1" t="inlineStr">
        <is>
          <t>metadata</t>
        </is>
      </c>
      <c r="B4" s="14" t="inlineStr">
        <is>
          <t>ON</t>
        </is>
      </c>
      <c r="C4" s="2" t="inlineStr">
        <is>
          <t>measurement_date</t>
        </is>
      </c>
      <c r="D4" s="15" t="n">
        <v>2</v>
      </c>
      <c r="E4" s="3" t="inlineStr">
        <is>
          <t>measurement_date</t>
        </is>
      </c>
      <c r="F4" s="3" t="inlineStr"/>
      <c r="G4" s="2" t="inlineStr">
        <is>
          <t>測定日時</t>
        </is>
      </c>
      <c r="H4" s="2" t="inlineStr">
        <is>
          <t>measurement date</t>
        </is>
      </c>
      <c r="I4" s="3" t="inlineStr"/>
      <c r="J4" s="2" t="inlineStr">
        <is>
          <t>datetime</t>
        </is>
      </c>
      <c r="K4" s="16">
        <f>_xlfn.IFS(ISBLANK(J4), "",J4="integer","integer",J4="number","number",J4="array","array",J4="boolean","boolean",TRUE,"string")</f>
        <v/>
      </c>
      <c r="L4" s="16">
        <f>_xlfn.IFS(J4="datetime","date-time",J4="duration","duration",TRUE,"")</f>
        <v/>
      </c>
      <c r="M4" s="3" t="inlineStr"/>
      <c r="N4" s="3" t="inlineStr"/>
      <c r="O4" s="3" t="inlineStr"/>
      <c r="P4" s="17" t="inlineStr">
        <is>
          <t>Derived from data</t>
        </is>
      </c>
      <c r="Q4" s="3" t="inlineStr"/>
      <c r="R4" s="3" t="inlineStr"/>
      <c r="S4" s="3" t="inlineStr"/>
    </row>
    <row r="5" ht="37.5" customHeight="1">
      <c r="A5" s="1" t="inlineStr">
        <is>
          <t>metadata</t>
        </is>
      </c>
      <c r="B5" s="14" t="inlineStr">
        <is>
          <t>ON</t>
        </is>
      </c>
      <c r="C5" s="2" t="inlineStr">
        <is>
          <t>x_label</t>
        </is>
      </c>
      <c r="D5" s="15" t="n">
        <v>3</v>
      </c>
      <c r="E5" s="3" t="inlineStr">
        <is>
          <t>x_label</t>
        </is>
      </c>
      <c r="F5" s="3" t="inlineStr"/>
      <c r="G5" s="2" t="inlineStr">
        <is>
          <t>独立変数(X軸ラベル)</t>
        </is>
      </c>
      <c r="H5" s="2" t="inlineStr">
        <is>
          <t>x-label</t>
        </is>
      </c>
      <c r="I5" s="3" t="inlineStr"/>
      <c r="J5" s="2" t="inlineStr">
        <is>
          <t>string</t>
        </is>
      </c>
      <c r="K5" s="16">
        <f>_xlfn.IFS(ISBLANK(J5), "",J5="integer","integer",J5="number","number",J5="array","array",J5="boolean","boolean",TRUE,"string")</f>
        <v/>
      </c>
      <c r="L5" s="16">
        <f>_xlfn.IFS(J5="datetime","date-time",J5="duration","duration",TRUE,"")</f>
        <v/>
      </c>
      <c r="M5" s="3" t="inlineStr"/>
      <c r="N5" s="3" t="inlineStr"/>
      <c r="O5" s="3" t="inlineStr"/>
      <c r="P5" s="17" t="inlineStr">
        <is>
          <t>Derived from data</t>
        </is>
      </c>
      <c r="Q5" s="3" t="inlineStr"/>
      <c r="R5" s="3" t="inlineStr"/>
      <c r="S5" s="3" t="inlineStr"/>
    </row>
    <row r="6" ht="37.5" customHeight="1">
      <c r="A6" s="1" t="inlineStr">
        <is>
          <t>metadata</t>
        </is>
      </c>
      <c r="B6" s="14" t="inlineStr">
        <is>
          <t>ON</t>
        </is>
      </c>
      <c r="C6" s="2" t="inlineStr">
        <is>
          <t>y_label</t>
        </is>
      </c>
      <c r="D6" s="15" t="n">
        <v>4</v>
      </c>
      <c r="E6" s="3" t="inlineStr">
        <is>
          <t>y_label</t>
        </is>
      </c>
      <c r="F6" s="3" t="inlineStr"/>
      <c r="G6" s="2" t="inlineStr">
        <is>
          <t>従属変数(Y軸ラベル)</t>
        </is>
      </c>
      <c r="H6" s="2" t="inlineStr">
        <is>
          <t>y-label</t>
        </is>
      </c>
      <c r="I6" s="3" t="inlineStr"/>
      <c r="J6" s="2" t="inlineStr">
        <is>
          <t>string</t>
        </is>
      </c>
      <c r="K6" s="16">
        <f>_xlfn.IFS(ISBLANK(J6), "",J6="integer","integer",J6="number","number",J6="array","array",J6="boolean","boolean",TRUE,"string")</f>
        <v/>
      </c>
      <c r="L6" s="16">
        <f>_xlfn.IFS(J6="datetime","date-time",J6="duration","duration",TRUE,"")</f>
        <v/>
      </c>
      <c r="M6" s="3" t="inlineStr"/>
      <c r="N6" s="3" t="inlineStr"/>
      <c r="O6" s="3" t="inlineStr"/>
      <c r="P6" s="17" t="inlineStr">
        <is>
          <t>Derived from data</t>
        </is>
      </c>
      <c r="Q6" s="3" t="inlineStr"/>
      <c r="R6" s="3" t="inlineStr"/>
      <c r="S6" s="3" t="inlineStr"/>
    </row>
    <row r="7" ht="37.5" customHeight="1">
      <c r="A7" s="1" t="inlineStr">
        <is>
          <t>metadata</t>
        </is>
      </c>
      <c r="B7" s="14" t="inlineStr">
        <is>
          <t>ON</t>
        </is>
      </c>
      <c r="C7" s="2" t="inlineStr">
        <is>
          <t>series_number</t>
        </is>
      </c>
      <c r="D7" s="15" t="n">
        <v>5</v>
      </c>
      <c r="E7" s="3" t="inlineStr">
        <is>
          <t>series_number</t>
        </is>
      </c>
      <c r="F7" s="3" t="inlineStr"/>
      <c r="G7" s="2" t="inlineStr">
        <is>
          <t>系列数</t>
        </is>
      </c>
      <c r="H7" s="2" t="inlineStr">
        <is>
          <t>series number</t>
        </is>
      </c>
      <c r="I7" s="3" t="inlineStr"/>
      <c r="J7" s="2" t="inlineStr">
        <is>
          <t>integer</t>
        </is>
      </c>
      <c r="K7" s="16">
        <f>_xlfn.IFS(ISBLANK(J7), "",J7="integer","integer",J7="number","number",J7="array","array",J7="boolean","boolean",TRUE,"string")</f>
        <v/>
      </c>
      <c r="L7" s="16">
        <f>_xlfn.IFS(J7="datetime","date-time",J7="duration","duration",TRUE,"")</f>
        <v/>
      </c>
      <c r="M7" s="3" t="inlineStr">
        <is>
          <t>PCS</t>
        </is>
      </c>
      <c r="N7" s="3" t="inlineStr"/>
      <c r="O7" s="3" t="inlineStr"/>
      <c r="P7" s="17" t="inlineStr">
        <is>
          <t>Derived from data</t>
        </is>
      </c>
      <c r="Q7" s="3" t="inlineStr"/>
      <c r="R7" s="3" t="inlineStr"/>
      <c r="S7" s="3" t="inlineStr"/>
    </row>
    <row r="8" ht="37.5" customHeight="1">
      <c r="A8" s="1" t="inlineStr">
        <is>
          <t>metadata</t>
        </is>
      </c>
      <c r="B8" s="14" t="inlineStr">
        <is>
          <t>ON</t>
        </is>
      </c>
      <c r="C8" s="2" t="inlineStr">
        <is>
          <t>series_name</t>
        </is>
      </c>
      <c r="D8" s="15" t="n">
        <v>6</v>
      </c>
      <c r="E8" s="3" t="inlineStr">
        <is>
          <t>series_name</t>
        </is>
      </c>
      <c r="F8" s="3" t="inlineStr"/>
      <c r="G8" s="2" t="inlineStr">
        <is>
          <t>系列名</t>
        </is>
      </c>
      <c r="H8" s="2" t="inlineStr">
        <is>
          <t>series name</t>
        </is>
      </c>
      <c r="I8" s="3" t="inlineStr"/>
      <c r="J8" s="2" t="inlineStr">
        <is>
          <t>string</t>
        </is>
      </c>
      <c r="K8" s="16">
        <f>_xlfn.IFS(ISBLANK(J8), "",J8="integer","integer",J8="number","number",J8="array","array",J8="boolean","boolean",TRUE,"string")</f>
        <v/>
      </c>
      <c r="L8" s="16">
        <f>_xlfn.IFS(J8="datetime","date-time",J8="duration","duration",TRUE,"")</f>
        <v/>
      </c>
      <c r="M8" s="3" t="inlineStr"/>
      <c r="N8" s="3" t="inlineStr"/>
      <c r="O8" s="3" t="inlineStr"/>
      <c r="P8" s="17" t="inlineStr">
        <is>
          <t>Analysis value</t>
        </is>
      </c>
      <c r="Q8" s="3" t="inlineStr">
        <is>
          <t>TRUE</t>
        </is>
      </c>
      <c r="R8" s="3" t="inlineStr"/>
      <c r="S8" s="3" t="inlineStr"/>
    </row>
    <row r="9" ht="37.5" customHeight="1">
      <c r="A9" s="1" t="inlineStr">
        <is>
          <t>metadata</t>
        </is>
      </c>
      <c r="B9" s="14" t="inlineStr">
        <is>
          <t>ON</t>
        </is>
      </c>
      <c r="C9" s="2" t="inlineStr">
        <is>
          <t>series_data_count</t>
        </is>
      </c>
      <c r="D9" s="15" t="n">
        <v>7</v>
      </c>
      <c r="E9" s="3" t="inlineStr">
        <is>
          <t>series_data_count</t>
        </is>
      </c>
      <c r="F9" s="3" t="inlineStr"/>
      <c r="G9" s="2" t="inlineStr">
        <is>
          <t>系列ごとデータ数</t>
        </is>
      </c>
      <c r="H9" s="2" t="inlineStr">
        <is>
          <t>data count by series</t>
        </is>
      </c>
      <c r="I9" s="3" t="inlineStr"/>
      <c r="J9" s="2" t="inlineStr">
        <is>
          <t>integer</t>
        </is>
      </c>
      <c r="K9" s="16">
        <f>_xlfn.IFS(ISBLANK(J9), "",J9="integer","integer",J9="number","number",J9="array","array",J9="boolean","boolean",TRUE,"string")</f>
        <v/>
      </c>
      <c r="L9" s="16">
        <f>_xlfn.IFS(J9="datetime","date-time",J9="duration","duration",TRUE,"")</f>
        <v/>
      </c>
      <c r="M9" s="3" t="inlineStr">
        <is>
          <t>PCS</t>
        </is>
      </c>
      <c r="N9" s="3" t="inlineStr"/>
      <c r="O9" s="3" t="inlineStr"/>
      <c r="P9" s="17" t="inlineStr">
        <is>
          <t>Analysis value</t>
        </is>
      </c>
      <c r="Q9" s="3" t="inlineStr">
        <is>
          <t>TRUE</t>
        </is>
      </c>
      <c r="R9" s="3" t="inlineStr"/>
      <c r="S9" s="3" t="inlineStr"/>
    </row>
    <row r="10" ht="37.5" customHeight="1">
      <c r="A10" s="1" t="inlineStr">
        <is>
          <t>metadata</t>
        </is>
      </c>
      <c r="B10" s="14" t="inlineStr">
        <is>
          <t>ON</t>
        </is>
      </c>
      <c r="C10" s="2" t="inlineStr">
        <is>
          <t>series_data_mean</t>
        </is>
      </c>
      <c r="D10" s="15" t="n">
        <v>8</v>
      </c>
      <c r="E10" s="3" t="inlineStr">
        <is>
          <t>series_data_mean</t>
        </is>
      </c>
      <c r="F10" s="3" t="inlineStr"/>
      <c r="G10" s="2" t="inlineStr">
        <is>
          <t>系列ごと平均値</t>
        </is>
      </c>
      <c r="H10" s="2" t="inlineStr">
        <is>
          <t>data mean by series</t>
        </is>
      </c>
      <c r="I10" s="3" t="inlineStr"/>
      <c r="J10" s="2" t="inlineStr">
        <is>
          <t>number</t>
        </is>
      </c>
      <c r="K10" s="16">
        <f>_xlfn.IFS(ISBLANK(J10), "",J10="integer","integer",J10="number","number",J10="array","array",J10="boolean","boolean",TRUE,"string")</f>
        <v/>
      </c>
      <c r="L10" s="16">
        <f>_xlfn.IFS(J10="datetime","date-time",J10="duration","duration",TRUE,"")</f>
        <v/>
      </c>
      <c r="M10" s="3" t="inlineStr"/>
      <c r="N10" s="3" t="inlineStr"/>
      <c r="O10" s="3" t="inlineStr"/>
      <c r="P10" s="17" t="inlineStr">
        <is>
          <t>Analysis value</t>
        </is>
      </c>
      <c r="Q10" s="3" t="inlineStr">
        <is>
          <t>TRUE</t>
        </is>
      </c>
      <c r="R10" s="3" t="inlineStr"/>
      <c r="S10" s="3" t="inlineStr"/>
    </row>
    <row r="11" ht="37.5" customHeight="1">
      <c r="A11" s="1" t="inlineStr">
        <is>
          <t>metadata</t>
        </is>
      </c>
      <c r="B11" s="14" t="inlineStr">
        <is>
          <t>ON</t>
        </is>
      </c>
      <c r="C11" s="2" t="inlineStr">
        <is>
          <t>series_data_median</t>
        </is>
      </c>
      <c r="D11" s="15" t="n">
        <v>9</v>
      </c>
      <c r="E11" s="3" t="inlineStr">
        <is>
          <t>series_data_median</t>
        </is>
      </c>
      <c r="F11" s="3" t="inlineStr"/>
      <c r="G11" s="2" t="inlineStr">
        <is>
          <t>系列ごと中央値</t>
        </is>
      </c>
      <c r="H11" s="2" t="inlineStr">
        <is>
          <t>data median by series</t>
        </is>
      </c>
      <c r="I11" s="3" t="inlineStr"/>
      <c r="J11" s="2" t="inlineStr">
        <is>
          <t>number</t>
        </is>
      </c>
      <c r="K11" s="16">
        <f>_xlfn.IFS(ISBLANK(J11), "",J11="integer","integer",J11="number","number",J11="array","array",J11="boolean","boolean",TRUE,"string")</f>
        <v/>
      </c>
      <c r="L11" s="16">
        <f>_xlfn.IFS(J11="datetime","date-time",J11="duration","duration",TRUE,"")</f>
        <v/>
      </c>
      <c r="M11" s="3" t="inlineStr"/>
      <c r="N11" s="3" t="inlineStr"/>
      <c r="O11" s="3" t="inlineStr"/>
      <c r="P11" s="17" t="inlineStr">
        <is>
          <t>Analysis value</t>
        </is>
      </c>
      <c r="Q11" s="3" t="inlineStr">
        <is>
          <t>TRUE</t>
        </is>
      </c>
      <c r="R11" s="3" t="inlineStr"/>
      <c r="S11" s="3" t="inlineStr"/>
    </row>
    <row r="12" ht="37.5" customHeight="1">
      <c r="A12" s="1" t="inlineStr">
        <is>
          <t>metadata</t>
        </is>
      </c>
      <c r="B12" s="14" t="inlineStr">
        <is>
          <t>ON</t>
        </is>
      </c>
      <c r="C12" s="2" t="inlineStr">
        <is>
          <t>series_data_max</t>
        </is>
      </c>
      <c r="D12" s="15" t="n">
        <v>10</v>
      </c>
      <c r="E12" s="3" t="inlineStr">
        <is>
          <t>series_data_max</t>
        </is>
      </c>
      <c r="F12" s="3" t="inlineStr"/>
      <c r="G12" s="2" t="inlineStr">
        <is>
          <t>系列ごと最大値</t>
        </is>
      </c>
      <c r="H12" s="2" t="inlineStr">
        <is>
          <t>data max by series</t>
        </is>
      </c>
      <c r="I12" s="3" t="inlineStr"/>
      <c r="J12" s="2" t="inlineStr">
        <is>
          <t>number</t>
        </is>
      </c>
      <c r="K12" s="16">
        <f>_xlfn.IFS(ISBLANK(J12), "",J12="integer","integer",J12="number","number",J12="array","array",J12="boolean","boolean",TRUE,"string")</f>
        <v/>
      </c>
      <c r="L12" s="16">
        <f>_xlfn.IFS(J12="datetime","date-time",J12="duration","duration",TRUE,"")</f>
        <v/>
      </c>
      <c r="M12" s="3" t="inlineStr"/>
      <c r="N12" s="3" t="inlineStr"/>
      <c r="O12" s="3" t="inlineStr"/>
      <c r="P12" s="17" t="inlineStr">
        <is>
          <t>Analysis value</t>
        </is>
      </c>
      <c r="Q12" s="3" t="inlineStr">
        <is>
          <t>TRUE</t>
        </is>
      </c>
      <c r="R12" s="3" t="inlineStr"/>
      <c r="S12" s="3" t="inlineStr"/>
    </row>
    <row r="13" ht="37.5" customHeight="1">
      <c r="A13" s="1" t="inlineStr">
        <is>
          <t>metadata</t>
        </is>
      </c>
      <c r="B13" s="14" t="inlineStr">
        <is>
          <t>ON</t>
        </is>
      </c>
      <c r="C13" s="2" t="inlineStr">
        <is>
          <t>series_data_min</t>
        </is>
      </c>
      <c r="D13" s="15" t="n">
        <v>11</v>
      </c>
      <c r="E13" s="3" t="inlineStr">
        <is>
          <t>series_data_min</t>
        </is>
      </c>
      <c r="F13" s="3" t="inlineStr"/>
      <c r="G13" s="2" t="inlineStr">
        <is>
          <t>系列ごと最小値</t>
        </is>
      </c>
      <c r="H13" s="2" t="inlineStr">
        <is>
          <t>data min by series</t>
        </is>
      </c>
      <c r="I13" s="3" t="inlineStr"/>
      <c r="J13" s="2" t="inlineStr">
        <is>
          <t>number</t>
        </is>
      </c>
      <c r="K13" s="16">
        <f>_xlfn.IFS(ISBLANK(J13), "",J13="integer","integer",J13="number","number",J13="array","array",J13="boolean","boolean",TRUE,"string")</f>
        <v/>
      </c>
      <c r="L13" s="16">
        <f>_xlfn.IFS(J13="datetime","date-time",J13="duration","duration",TRUE,"")</f>
        <v/>
      </c>
      <c r="M13" s="3" t="inlineStr"/>
      <c r="N13" s="3" t="inlineStr"/>
      <c r="O13" s="3" t="inlineStr"/>
      <c r="P13" s="17" t="inlineStr">
        <is>
          <t>Analysis value</t>
        </is>
      </c>
      <c r="Q13" s="3" t="inlineStr">
        <is>
          <t>TRUE</t>
        </is>
      </c>
      <c r="R13" s="3" t="inlineStr"/>
      <c r="S13" s="3" t="inlineStr"/>
    </row>
    <row r="14" ht="37.5" customHeight="1">
      <c r="A14" s="1" t="inlineStr">
        <is>
          <t>metadata</t>
        </is>
      </c>
      <c r="B14" s="14" t="inlineStr">
        <is>
          <t>ON</t>
        </is>
      </c>
      <c r="C14" s="2" t="inlineStr">
        <is>
          <t>series_data_stdev</t>
        </is>
      </c>
      <c r="D14" s="15" t="n">
        <v>12</v>
      </c>
      <c r="E14" s="3" t="inlineStr">
        <is>
          <t>series_data_stdev</t>
        </is>
      </c>
      <c r="F14" s="3" t="inlineStr"/>
      <c r="G14" s="2" t="inlineStr">
        <is>
          <t>系列ごと標準偏差</t>
        </is>
      </c>
      <c r="H14" s="2" t="inlineStr">
        <is>
          <t>data stdev by series</t>
        </is>
      </c>
      <c r="I14" s="3" t="inlineStr"/>
      <c r="J14" s="2" t="inlineStr">
        <is>
          <t>number</t>
        </is>
      </c>
      <c r="K14" s="16">
        <f>_xlfn.IFS(ISBLANK(J14), "",J14="integer","integer",J14="number","number",J14="array","array",J14="boolean","boolean",TRUE,"string")</f>
        <v/>
      </c>
      <c r="L14" s="16">
        <f>_xlfn.IFS(J14="datetime","date-time",J14="duration","duration",TRUE,"")</f>
        <v/>
      </c>
      <c r="M14" s="3" t="inlineStr"/>
      <c r="N14" s="3" t="inlineStr"/>
      <c r="O14" s="3" t="inlineStr"/>
      <c r="P14" s="17" t="inlineStr">
        <is>
          <t>Analysis value</t>
        </is>
      </c>
      <c r="Q14" s="3" t="inlineStr">
        <is>
          <t>TRUE</t>
        </is>
      </c>
      <c r="R14" s="3" t="inlineStr"/>
      <c r="S14" s="3" t="inlineStr"/>
    </row>
    <row r="15" ht="18.75" customHeight="1">
      <c r="A15" s="1" t="inlineStr">
        <is>
          <t>metadata</t>
        </is>
      </c>
      <c r="B15" s="14" t="inlineStr">
        <is>
          <t>ON</t>
        </is>
      </c>
      <c r="C15" s="2" t="inlineStr">
        <is>
          <t>invoice_measurement_date</t>
        </is>
      </c>
      <c r="D15" s="15" t="n">
        <v>13</v>
      </c>
      <c r="E15" s="3" t="inlineStr">
        <is>
          <t>invoice measurement date</t>
        </is>
      </c>
      <c r="F15" s="3" t="inlineStr"/>
      <c r="G15" s="2" t="inlineStr">
        <is>
          <t>送状状測定日時</t>
        </is>
      </c>
      <c r="H15" s="2" t="inlineStr">
        <is>
          <t>measurement date from invoice</t>
        </is>
      </c>
      <c r="I15" s="3" t="inlineStr"/>
      <c r="J15" s="2" t="inlineStr">
        <is>
          <t>datetime</t>
        </is>
      </c>
      <c r="K15" s="16">
        <f>_xlfn.IFS(ISBLANK(J15), "",J15="integer","integer",J15="number","number",J15="array","array",J15="boolean","boolean",TRUE,"string")</f>
        <v/>
      </c>
      <c r="L15" s="16">
        <f>_xlfn.IFS(J15="datetime","date-time",J15="duration","duration",TRUE,"")</f>
        <v/>
      </c>
      <c r="M15" s="3" t="inlineStr"/>
      <c r="N15" s="3" t="inlineStr"/>
      <c r="O15" s="3" t="inlineStr"/>
      <c r="P15" s="17" t="inlineStr">
        <is>
          <t>Invoice</t>
        </is>
      </c>
      <c r="Q15" s="3" t="inlineStr"/>
      <c r="R15" s="3" t="inlineStr"/>
      <c r="S15" s="3" t="inlineStr"/>
    </row>
    <row r="16" ht="18.75" customHeight="1">
      <c r="A16" s="1" t="inlineStr">
        <is>
          <t>metadata</t>
        </is>
      </c>
      <c r="B16" s="14" t="inlineStr">
        <is>
          <t>ON</t>
        </is>
      </c>
      <c r="C16" s="2" t="inlineStr">
        <is>
          <t>invoice_number1</t>
        </is>
      </c>
      <c r="D16" s="15" t="n">
        <v>14</v>
      </c>
      <c r="E16" s="3" t="inlineStr">
        <is>
          <t>invoice_number1</t>
        </is>
      </c>
      <c r="F16" s="3" t="inlineStr"/>
      <c r="G16" s="2" t="inlineStr">
        <is>
          <t>送状状数値入力値1</t>
        </is>
      </c>
      <c r="H16" s="2" t="inlineStr">
        <is>
          <t>invoice_number1</t>
        </is>
      </c>
      <c r="I16" s="3" t="inlineStr"/>
      <c r="J16" s="2" t="inlineStr">
        <is>
          <t>number</t>
        </is>
      </c>
      <c r="K16" s="16">
        <f>_xlfn.IFS(ISBLANK(J16), "",J16="integer","integer",J16="number","number",J16="array","array",J16="boolean","boolean",TRUE,"string")</f>
        <v/>
      </c>
      <c r="L16" s="16">
        <f>_xlfn.IFS(J16="datetime","date-time",J16="duration","duration",TRUE,"")</f>
        <v/>
      </c>
      <c r="M16" s="3" t="inlineStr"/>
      <c r="N16" s="3" t="inlineStr"/>
      <c r="O16" s="3" t="inlineStr"/>
      <c r="P16" s="17" t="inlineStr">
        <is>
          <t>Invoice</t>
        </is>
      </c>
      <c r="Q16" s="3" t="inlineStr"/>
      <c r="R16" s="3" t="inlineStr"/>
      <c r="S16" s="3" t="inlineStr"/>
    </row>
    <row r="17" ht="18.75" customHeight="1">
      <c r="A17" s="1" t="inlineStr">
        <is>
          <t>metadata</t>
        </is>
      </c>
      <c r="B17" s="14" t="inlineStr">
        <is>
          <t>ON</t>
        </is>
      </c>
      <c r="C17" s="2" t="inlineStr">
        <is>
          <t>invoice_number2</t>
        </is>
      </c>
      <c r="D17" s="15" t="n">
        <v>15</v>
      </c>
      <c r="E17" s="3" t="inlineStr">
        <is>
          <t>invoice_number2</t>
        </is>
      </c>
      <c r="F17" s="3" t="inlineStr"/>
      <c r="G17" s="2" t="inlineStr">
        <is>
          <t>送状状数値入力値2</t>
        </is>
      </c>
      <c r="H17" s="2" t="inlineStr">
        <is>
          <t>invoice_number2</t>
        </is>
      </c>
      <c r="I17" s="3" t="inlineStr"/>
      <c r="J17" s="2" t="inlineStr">
        <is>
          <t>number</t>
        </is>
      </c>
      <c r="K17" s="16">
        <f>_xlfn.IFS(ISBLANK(J17), "",J17="integer","integer",J17="number","number",J17="array","array",J17="boolean","boolean",TRUE,"string")</f>
        <v/>
      </c>
      <c r="L17" s="16">
        <f>_xlfn.IFS(J17="datetime","date-time",J17="duration","duration",TRUE,"")</f>
        <v/>
      </c>
      <c r="M17" s="3" t="inlineStr"/>
      <c r="N17" s="3" t="inlineStr"/>
      <c r="O17" s="3" t="inlineStr"/>
      <c r="P17" s="17" t="inlineStr">
        <is>
          <t>Invoice</t>
        </is>
      </c>
      <c r="Q17" s="3" t="inlineStr"/>
      <c r="R17" s="3" t="inlineStr"/>
      <c r="S17" s="3" t="inlineStr"/>
    </row>
    <row r="18" ht="18.75" customHeight="1">
      <c r="A18" s="1" t="inlineStr">
        <is>
          <t>metadata</t>
        </is>
      </c>
      <c r="B18" s="14" t="inlineStr">
        <is>
          <t>ON</t>
        </is>
      </c>
      <c r="C18" s="2" t="inlineStr">
        <is>
          <t>invoice_string1</t>
        </is>
      </c>
      <c r="D18" s="15" t="n">
        <v>16</v>
      </c>
      <c r="E18" s="3" t="inlineStr">
        <is>
          <t>invoice_string1</t>
        </is>
      </c>
      <c r="F18" s="3" t="inlineStr"/>
      <c r="G18" s="2" t="inlineStr">
        <is>
          <t>送状文字入力値1</t>
        </is>
      </c>
      <c r="H18" s="2" t="inlineStr">
        <is>
          <t>invoice_string1</t>
        </is>
      </c>
      <c r="I18" s="3" t="inlineStr"/>
      <c r="J18" s="2" t="inlineStr">
        <is>
          <t>string</t>
        </is>
      </c>
      <c r="K18" s="16">
        <f>_xlfn.IFS(ISBLANK(J18), "",J18="integer","integer",J18="number","number",J18="array","array",J18="boolean","boolean",TRUE,"string")</f>
        <v/>
      </c>
      <c r="L18" s="16">
        <f>_xlfn.IFS(J18="datetime","date-time",J18="duration","duration",TRUE,"")</f>
        <v/>
      </c>
      <c r="M18" s="3" t="inlineStr"/>
      <c r="N18" s="3" t="inlineStr"/>
      <c r="O18" s="3" t="inlineStr"/>
      <c r="P18" s="17" t="inlineStr">
        <is>
          <t>Invoice</t>
        </is>
      </c>
      <c r="Q18" s="3" t="inlineStr"/>
      <c r="R18" s="3" t="inlineStr"/>
      <c r="S18" s="3" t="inlineStr"/>
    </row>
    <row r="19" ht="18.75" customHeight="1">
      <c r="A19" s="1" t="inlineStr">
        <is>
          <t>metadata</t>
        </is>
      </c>
      <c r="B19" s="14" t="inlineStr">
        <is>
          <t>ON</t>
        </is>
      </c>
      <c r="C19" s="2" t="inlineStr">
        <is>
          <t>inboice_string2</t>
        </is>
      </c>
      <c r="D19" s="15" t="n">
        <v>17</v>
      </c>
      <c r="E19" s="3" t="inlineStr">
        <is>
          <t>inboice_string2</t>
        </is>
      </c>
      <c r="F19" s="3" t="inlineStr"/>
      <c r="G19" s="2" t="inlineStr">
        <is>
          <t>送状文字入力値2</t>
        </is>
      </c>
      <c r="H19" s="2" t="inlineStr">
        <is>
          <t>inboice_string2</t>
        </is>
      </c>
      <c r="I19" s="3" t="inlineStr"/>
      <c r="J19" s="2" t="inlineStr">
        <is>
          <t>string</t>
        </is>
      </c>
      <c r="K19" s="16">
        <f>_xlfn.IFS(ISBLANK(J19), "",J19="integer","integer",J19="number","number",J19="array","array",J19="boolean","boolean",TRUE,"string")</f>
        <v/>
      </c>
      <c r="L19" s="16">
        <f>_xlfn.IFS(J19="datetime","date-time",J19="duration","duration",TRUE,"")</f>
        <v/>
      </c>
      <c r="M19" s="3" t="inlineStr"/>
      <c r="N19" s="3" t="inlineStr"/>
      <c r="O19" s="3" t="inlineStr"/>
      <c r="P19" s="17" t="inlineStr">
        <is>
          <t>Invoice</t>
        </is>
      </c>
      <c r="Q19" s="3" t="inlineStr"/>
      <c r="R19" s="3" t="inlineStr"/>
      <c r="S19" s="3" t="inlineStr"/>
    </row>
    <row r="20" ht="18.75" customHeight="1">
      <c r="A20" s="1" t="inlineStr">
        <is>
          <t>metadata</t>
        </is>
      </c>
      <c r="B20" s="14" t="inlineStr">
        <is>
          <t>ON</t>
        </is>
      </c>
      <c r="C20" s="2" t="inlineStr">
        <is>
          <t>invoice_list1</t>
        </is>
      </c>
      <c r="D20" s="15" t="n">
        <v>18</v>
      </c>
      <c r="E20" s="3" t="inlineStr">
        <is>
          <t>invoice_list1</t>
        </is>
      </c>
      <c r="F20" s="3" t="inlineStr"/>
      <c r="G20" s="2" t="inlineStr">
        <is>
          <t>送状状選択値1</t>
        </is>
      </c>
      <c r="H20" s="2" t="inlineStr">
        <is>
          <t>invoice_list1</t>
        </is>
      </c>
      <c r="I20" s="3" t="inlineStr"/>
      <c r="J20" s="2" t="inlineStr">
        <is>
          <t>string</t>
        </is>
      </c>
      <c r="K20" s="16">
        <f>_xlfn.IFS(ISBLANK(J20), "",J20="integer","integer",J20="number","number",J20="array","array",J20="boolean","boolean",TRUE,"string")</f>
        <v/>
      </c>
      <c r="L20" s="16">
        <f>_xlfn.IFS(J20="datetime","date-time",J20="duration","duration",TRUE,"")</f>
        <v/>
      </c>
      <c r="M20" s="3" t="inlineStr"/>
      <c r="N20" s="3" t="inlineStr"/>
      <c r="O20" s="3" t="inlineStr"/>
      <c r="P20" s="17" t="inlineStr">
        <is>
          <t>Invoice</t>
        </is>
      </c>
      <c r="Q20" s="3" t="inlineStr"/>
      <c r="R20" s="3" t="inlineStr"/>
      <c r="S20" s="3" t="inlineStr"/>
    </row>
    <row r="21" ht="18.75" customHeight="1">
      <c r="A21" s="1" t="inlineStr">
        <is>
          <t>metadata</t>
        </is>
      </c>
      <c r="B21" s="14" t="inlineStr">
        <is>
          <t>OFF</t>
        </is>
      </c>
      <c r="C21" s="2" t="inlineStr"/>
      <c r="D21" s="15" t="inlineStr"/>
      <c r="E21" s="3" t="inlineStr"/>
      <c r="F21" s="3" t="inlineStr"/>
      <c r="G21" s="2" t="inlineStr"/>
      <c r="H21" s="2" t="inlineStr"/>
      <c r="I21" s="3" t="inlineStr"/>
      <c r="J21" s="2" t="n"/>
      <c r="K21" s="16">
        <f>_xlfn.IFS(ISBLANK(J21), "",J21="integer","integer",J21="number","number",J21="array","array",J21="boolean","boolean",TRUE,"string")</f>
        <v/>
      </c>
      <c r="L21" s="16">
        <f>_xlfn.IFS(J21="datetime","date-time",J21="duration","duration",TRUE,"")</f>
        <v/>
      </c>
      <c r="M21" s="3" t="inlineStr"/>
      <c r="N21" s="3" t="inlineStr"/>
      <c r="O21" s="3" t="inlineStr"/>
      <c r="P21" s="17" t="inlineStr"/>
      <c r="Q21" s="3" t="inlineStr"/>
      <c r="R21" s="3" t="inlineStr"/>
      <c r="S21" s="3" t="inlineStr"/>
    </row>
    <row r="22" ht="18.75" customHeight="1">
      <c r="A22" s="1" t="inlineStr">
        <is>
          <t>metadata</t>
        </is>
      </c>
      <c r="B22" s="14" t="inlineStr">
        <is>
          <t>OFF</t>
        </is>
      </c>
      <c r="C22" s="2" t="inlineStr"/>
      <c r="D22" s="15" t="inlineStr"/>
      <c r="E22" s="3" t="inlineStr"/>
      <c r="F22" s="3" t="inlineStr"/>
      <c r="G22" s="2" t="inlineStr"/>
      <c r="H22" s="2" t="inlineStr"/>
      <c r="I22" s="3" t="inlineStr"/>
      <c r="J22" s="2" t="n"/>
      <c r="K22" s="16">
        <f>_xlfn.IFS(ISBLANK(J22), "",J22="integer","integer",J22="number","number",J22="array","array",J22="boolean","boolean",TRUE,"string")</f>
        <v/>
      </c>
      <c r="L22" s="16">
        <f>_xlfn.IFS(J22="datetime","date-time",J22="duration","duration",TRUE,"")</f>
        <v/>
      </c>
      <c r="M22" s="3" t="inlineStr"/>
      <c r="N22" s="3" t="inlineStr"/>
      <c r="O22" s="3" t="inlineStr"/>
      <c r="P22" s="17" t="inlineStr"/>
      <c r="Q22" s="3" t="inlineStr"/>
      <c r="R22" s="3" t="inlineStr"/>
      <c r="S22" s="3" t="inlineStr"/>
    </row>
    <row r="23" ht="18.75" customHeight="1">
      <c r="A23" s="1" t="inlineStr">
        <is>
          <t>metadata</t>
        </is>
      </c>
      <c r="B23" s="14" t="inlineStr">
        <is>
          <t>OFF</t>
        </is>
      </c>
      <c r="C23" s="2" t="inlineStr"/>
      <c r="D23" s="15" t="inlineStr"/>
      <c r="E23" s="3" t="inlineStr"/>
      <c r="F23" s="3" t="inlineStr"/>
      <c r="G23" s="2" t="inlineStr"/>
      <c r="H23" s="2" t="inlineStr"/>
      <c r="I23" s="3" t="inlineStr"/>
      <c r="J23" s="2" t="n"/>
      <c r="K23" s="16">
        <f>_xlfn.IFS(ISBLANK(J23), "",J23="integer","integer",J23="number","number",J23="array","array",J23="boolean","boolean",TRUE,"string")</f>
        <v/>
      </c>
      <c r="L23" s="16">
        <f>_xlfn.IFS(J23="datetime","date-time",J23="duration","duration",TRUE,"")</f>
        <v/>
      </c>
      <c r="M23" s="3" t="inlineStr"/>
      <c r="N23" s="3" t="inlineStr"/>
      <c r="O23" s="3" t="inlineStr"/>
      <c r="P23" s="17" t="inlineStr"/>
      <c r="Q23" s="3" t="inlineStr"/>
      <c r="R23" s="3" t="inlineStr"/>
      <c r="S23" s="3" t="inlineStr"/>
    </row>
    <row r="24" ht="18.75" customHeight="1">
      <c r="A24" s="1" t="inlineStr">
        <is>
          <t>metadata</t>
        </is>
      </c>
      <c r="B24" s="14" t="inlineStr">
        <is>
          <t>OFF</t>
        </is>
      </c>
      <c r="C24" s="2" t="inlineStr"/>
      <c r="D24" s="15" t="inlineStr"/>
      <c r="E24" s="3" t="inlineStr"/>
      <c r="F24" s="3" t="inlineStr"/>
      <c r="G24" s="2" t="inlineStr"/>
      <c r="H24" s="2" t="inlineStr"/>
      <c r="I24" s="3" t="inlineStr"/>
      <c r="J24" s="2" t="n"/>
      <c r="K24" s="16">
        <f>_xlfn.IFS(ISBLANK(J24), "",J24="integer","integer",J24="number","number",J24="array","array",J24="boolean","boolean",TRUE,"string")</f>
        <v/>
      </c>
      <c r="L24" s="16">
        <f>_xlfn.IFS(J24="datetime","date-time",J24="duration","duration",TRUE,"")</f>
        <v/>
      </c>
      <c r="M24" s="3" t="inlineStr"/>
      <c r="N24" s="3" t="inlineStr"/>
      <c r="O24" s="3" t="inlineStr"/>
      <c r="P24" s="17" t="inlineStr"/>
      <c r="Q24" s="3" t="inlineStr"/>
      <c r="R24" s="3" t="inlineStr"/>
      <c r="S24" s="3" t="inlineStr"/>
    </row>
    <row r="25" ht="18.75" customHeight="1">
      <c r="A25" s="1" t="inlineStr">
        <is>
          <t>metadata</t>
        </is>
      </c>
      <c r="B25" s="14" t="inlineStr">
        <is>
          <t>OFF</t>
        </is>
      </c>
      <c r="C25" s="2" t="inlineStr"/>
      <c r="D25" s="15" t="inlineStr"/>
      <c r="E25" s="3" t="inlineStr"/>
      <c r="F25" s="3" t="inlineStr"/>
      <c r="G25" s="2" t="inlineStr"/>
      <c r="H25" s="2" t="inlineStr"/>
      <c r="I25" s="3" t="inlineStr"/>
      <c r="J25" s="2" t="n"/>
      <c r="K25" s="16">
        <f>_xlfn.IFS(ISBLANK(J25), "",J25="integer","integer",J25="number","number",J25="array","array",J25="boolean","boolean",TRUE,"string")</f>
        <v/>
      </c>
      <c r="L25" s="16">
        <f>_xlfn.IFS(J25="datetime","date-time",J25="duration","duration",TRUE,"")</f>
        <v/>
      </c>
      <c r="M25" s="3" t="inlineStr"/>
      <c r="N25" s="3" t="inlineStr"/>
      <c r="O25" s="3" t="inlineStr"/>
      <c r="P25" s="17" t="inlineStr"/>
      <c r="Q25" s="3" t="inlineStr"/>
      <c r="R25" s="3" t="inlineStr"/>
      <c r="S25" s="3" t="inlineStr"/>
    </row>
    <row r="26" ht="18.75" customHeight="1">
      <c r="A26" s="1" t="inlineStr">
        <is>
          <t>metadata</t>
        </is>
      </c>
      <c r="B26" s="14" t="inlineStr">
        <is>
          <t>OFF</t>
        </is>
      </c>
      <c r="C26" s="2" t="inlineStr"/>
      <c r="D26" s="15" t="inlineStr"/>
      <c r="E26" s="3" t="inlineStr"/>
      <c r="F26" s="3" t="inlineStr"/>
      <c r="G26" s="2" t="inlineStr"/>
      <c r="H26" s="2" t="inlineStr"/>
      <c r="I26" s="3" t="inlineStr"/>
      <c r="J26" s="2" t="n"/>
      <c r="K26" s="16">
        <f>_xlfn.IFS(ISBLANK(J26), "",J26="integer","integer",J26="number","number",J26="array","array",J26="boolean","boolean",TRUE,"string")</f>
        <v/>
      </c>
      <c r="L26" s="16">
        <f>_xlfn.IFS(J26="datetime","date-time",J26="duration","duration",TRUE,"")</f>
        <v/>
      </c>
      <c r="M26" s="3" t="inlineStr"/>
      <c r="N26" s="3" t="inlineStr"/>
      <c r="O26" s="3" t="inlineStr"/>
      <c r="P26" s="17" t="inlineStr"/>
      <c r="Q26" s="3" t="inlineStr"/>
      <c r="R26" s="3" t="inlineStr"/>
      <c r="S26" s="3" t="inlineStr"/>
    </row>
    <row r="27" ht="18.75" customHeight="1">
      <c r="A27" s="1" t="inlineStr">
        <is>
          <t>metadata</t>
        </is>
      </c>
      <c r="B27" s="14" t="inlineStr">
        <is>
          <t>OFF</t>
        </is>
      </c>
      <c r="C27" s="2" t="inlineStr"/>
      <c r="D27" s="15" t="inlineStr"/>
      <c r="E27" s="3" t="inlineStr"/>
      <c r="F27" s="3" t="inlineStr"/>
      <c r="G27" s="2" t="inlineStr"/>
      <c r="H27" s="2" t="inlineStr"/>
      <c r="I27" s="3" t="inlineStr"/>
      <c r="J27" s="2" t="n"/>
      <c r="K27" s="16">
        <f>_xlfn.IFS(ISBLANK(J27), "",J27="integer","integer",J27="number","number",J27="array","array",J27="boolean","boolean",TRUE,"string")</f>
        <v/>
      </c>
      <c r="L27" s="16">
        <f>_xlfn.IFS(J27="datetime","date-time",J27="duration","duration",TRUE,"")</f>
        <v/>
      </c>
      <c r="M27" s="3" t="inlineStr"/>
      <c r="N27" s="3" t="inlineStr"/>
      <c r="O27" s="3" t="inlineStr"/>
      <c r="P27" s="17" t="inlineStr"/>
      <c r="Q27" s="3" t="inlineStr"/>
      <c r="R27" s="3" t="inlineStr"/>
      <c r="S27" s="3" t="inlineStr"/>
    </row>
    <row r="28" ht="18.75" customHeight="1">
      <c r="A28" s="1" t="inlineStr">
        <is>
          <t>metadata</t>
        </is>
      </c>
      <c r="B28" s="14" t="inlineStr">
        <is>
          <t>OFF</t>
        </is>
      </c>
      <c r="C28" s="2" t="inlineStr"/>
      <c r="D28" s="15" t="inlineStr"/>
      <c r="E28" s="3" t="inlineStr"/>
      <c r="F28" s="3" t="inlineStr"/>
      <c r="G28" s="2" t="inlineStr"/>
      <c r="H28" s="2" t="inlineStr"/>
      <c r="I28" s="3" t="inlineStr"/>
      <c r="J28" s="2" t="n"/>
      <c r="K28" s="16">
        <f>_xlfn.IFS(ISBLANK(J28), "",J28="integer","integer",J28="number","number",J28="array","array",J28="boolean","boolean",TRUE,"string")</f>
        <v/>
      </c>
      <c r="L28" s="16">
        <f>_xlfn.IFS(J28="datetime","date-time",J28="duration","duration",TRUE,"")</f>
        <v/>
      </c>
      <c r="M28" s="3" t="inlineStr"/>
      <c r="N28" s="3" t="inlineStr"/>
      <c r="O28" s="3" t="inlineStr"/>
      <c r="P28" s="17" t="inlineStr"/>
      <c r="Q28" s="3" t="inlineStr"/>
      <c r="R28" s="3" t="inlineStr"/>
      <c r="S28" s="3" t="inlineStr"/>
    </row>
    <row r="29" ht="18.75" customHeight="1">
      <c r="A29" s="1" t="inlineStr">
        <is>
          <t>metadata</t>
        </is>
      </c>
      <c r="B29" s="14" t="inlineStr">
        <is>
          <t>OFF</t>
        </is>
      </c>
      <c r="C29" s="2" t="inlineStr"/>
      <c r="D29" s="15" t="inlineStr"/>
      <c r="E29" s="3" t="inlineStr"/>
      <c r="F29" s="3" t="inlineStr"/>
      <c r="G29" s="2" t="inlineStr"/>
      <c r="H29" s="2" t="inlineStr"/>
      <c r="I29" s="3" t="inlineStr"/>
      <c r="J29" s="2" t="n"/>
      <c r="K29" s="16">
        <f>_xlfn.IFS(ISBLANK(J29), "",J29="integer","integer",J29="number","number",J29="array","array",J29="boolean","boolean",TRUE,"string")</f>
        <v/>
      </c>
      <c r="L29" s="16">
        <f>_xlfn.IFS(J29="datetime","date-time",J29="duration","duration",TRUE,"")</f>
        <v/>
      </c>
      <c r="M29" s="3" t="inlineStr"/>
      <c r="N29" s="3" t="inlineStr"/>
      <c r="O29" s="3" t="inlineStr"/>
      <c r="P29" s="17" t="inlineStr"/>
      <c r="Q29" s="3" t="inlineStr"/>
      <c r="R29" s="3" t="inlineStr"/>
      <c r="S29" s="3" t="inlineStr"/>
    </row>
    <row r="30" ht="18.75" customHeight="1">
      <c r="A30" s="1" t="inlineStr">
        <is>
          <t>metadata</t>
        </is>
      </c>
      <c r="B30" s="14" t="inlineStr">
        <is>
          <t>OFF</t>
        </is>
      </c>
      <c r="C30" s="2" t="inlineStr"/>
      <c r="D30" s="15" t="inlineStr"/>
      <c r="E30" s="3" t="inlineStr"/>
      <c r="F30" s="3" t="inlineStr"/>
      <c r="G30" s="2" t="inlineStr"/>
      <c r="H30" s="2" t="inlineStr"/>
      <c r="I30" s="3" t="inlineStr"/>
      <c r="J30" s="2" t="n"/>
      <c r="K30" s="16">
        <f>_xlfn.IFS(ISBLANK(J30), "",J30="integer","integer",J30="number","number",J30="array","array",J30="boolean","boolean",TRUE,"string")</f>
        <v/>
      </c>
      <c r="L30" s="16">
        <f>_xlfn.IFS(J30="datetime","date-time",J30="duration","duration",TRUE,"")</f>
        <v/>
      </c>
      <c r="M30" s="3" t="inlineStr"/>
      <c r="N30" s="3" t="inlineStr"/>
      <c r="O30" s="3" t="inlineStr"/>
      <c r="P30" s="17" t="inlineStr"/>
      <c r="Q30" s="3" t="inlineStr"/>
      <c r="R30" s="3" t="inlineStr"/>
      <c r="S30" s="3" t="inlineStr"/>
    </row>
    <row r="31" ht="18.75" customHeight="1"/>
    <row r="32" ht="18.75" customHeight="1"/>
    <row r="33" ht="18.75" customHeight="1"/>
    <row r="34" ht="18.75" customHeight="1"/>
    <row r="35" ht="18.75" customHeight="1"/>
    <row r="36" ht="18.75" customHeight="1"/>
    <row r="37" ht="18.75" customHeight="1"/>
    <row r="38" ht="18.75" customHeight="1"/>
    <row r="39" ht="18.75" customHeight="1"/>
    <row r="40" ht="18.75" customHeight="1"/>
    <row r="41" ht="18.75" customHeight="1"/>
    <row r="42" ht="18.75" customHeight="1"/>
    <row r="43" ht="18.75" customHeight="1"/>
    <row r="44" ht="18.75" customHeight="1"/>
    <row r="45" ht="18.75" customHeight="1"/>
    <row r="46" ht="18.75" customHeight="1"/>
    <row r="47" ht="18.75" customHeight="1"/>
    <row r="48" ht="18.75" customHeight="1"/>
    <row r="49" ht="18.75" customHeight="1"/>
    <row r="50" ht="18.75" customHeight="1"/>
    <row r="51" ht="18.75" customHeight="1"/>
    <row r="52" ht="18.75" customHeight="1"/>
    <row r="53" ht="18.75" customHeight="1"/>
    <row r="54" ht="18.75" customHeight="1"/>
    <row r="55" ht="18.75" customHeight="1"/>
    <row r="56" ht="18.75" customHeight="1"/>
    <row r="57" ht="18.75" customHeight="1"/>
    <row r="58" ht="18.75" customHeight="1"/>
    <row r="59" ht="18.75" customHeight="1"/>
    <row r="60" ht="18.75" customHeight="1"/>
    <row r="61" ht="18.75" customHeight="1"/>
    <row r="62" ht="18.75" customHeight="1"/>
    <row r="63" ht="18.75" customHeight="1"/>
    <row r="64" ht="18.75" customHeight="1"/>
    <row r="65" ht="18.75" customHeight="1"/>
    <row r="66" ht="18.75" customHeight="1"/>
    <row r="67" ht="18.75" customHeight="1"/>
    <row r="68" ht="18.75" customHeight="1"/>
    <row r="69" ht="18.75" customHeight="1"/>
    <row r="70" ht="18.75" customHeight="1"/>
    <row r="71" ht="18.75" customHeight="1"/>
    <row r="72" ht="18.75" customHeight="1"/>
    <row r="73" ht="18.75" customHeight="1"/>
    <row r="74" ht="18.75" customHeight="1"/>
    <row r="75" ht="18.75" customHeight="1"/>
    <row r="76" ht="18.75" customHeight="1"/>
    <row r="77" ht="18.75" customHeight="1"/>
    <row r="78" ht="18.75" customHeight="1"/>
    <row r="79" ht="18.75" customHeight="1"/>
    <row r="80" ht="18.75" customHeight="1"/>
    <row r="81" ht="18.75" customHeight="1"/>
    <row r="82" ht="18.75" customHeight="1"/>
    <row r="83" ht="18.75" customHeight="1"/>
    <row r="84" ht="18.75" customHeight="1"/>
    <row r="85" ht="18.75" customHeight="1"/>
    <row r="86" ht="18.75" customHeight="1"/>
    <row r="87" ht="18.75" customHeight="1"/>
    <row r="88" ht="18.75" customHeight="1"/>
    <row r="89" ht="18.75" customHeight="1"/>
    <row r="90" ht="18.75" customHeight="1"/>
    <row r="91" ht="18.75" customHeight="1"/>
    <row r="92" ht="18.75" customHeight="1"/>
    <row r="93" ht="18.75" customHeight="1"/>
    <row r="94" ht="18.75" customHeight="1"/>
    <row r="95" ht="18.75" customHeight="1"/>
    <row r="96" ht="18.75" customHeight="1"/>
    <row r="97" ht="18.75" customHeight="1"/>
    <row r="98" ht="18.75" customHeight="1"/>
    <row r="99" ht="18.75" customHeight="1"/>
    <row r="100" ht="18.75" customHeight="1"/>
    <row r="101" ht="18.75" customHeight="1"/>
    <row r="102" ht="18.75" customHeight="1"/>
    <row r="103" ht="18.75" customHeight="1"/>
    <row r="104" ht="18.75" customHeight="1"/>
    <row r="105" ht="18.75" customHeight="1"/>
    <row r="106" ht="18.75" customHeight="1"/>
    <row r="107" ht="18.75" customHeight="1"/>
    <row r="108" ht="18.75" customHeight="1"/>
    <row r="109" ht="18.75" customHeight="1"/>
    <row r="110" ht="18.75" customHeight="1"/>
    <row r="111" ht="18.75" customHeight="1"/>
    <row r="112" ht="18.75" customHeight="1"/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  <row r="141" ht="18.75" customHeight="1"/>
    <row r="142" ht="18.75" customHeight="1"/>
    <row r="143" ht="18.75" customHeight="1"/>
    <row r="144" ht="18.75" customHeight="1"/>
    <row r="145" ht="18.75" customHeight="1"/>
    <row r="146" ht="18.75" customHeight="1"/>
    <row r="147" ht="18.75" customHeight="1"/>
    <row r="148" ht="18.75" customHeight="1"/>
    <row r="149" ht="18.75" customHeight="1"/>
    <row r="150" ht="18.75" customHeight="1"/>
    <row r="151" ht="18.75" customHeight="1"/>
    <row r="152" ht="18.75" customHeight="1"/>
    <row r="153" ht="18.75" customHeight="1"/>
    <row r="154" ht="18.75" customHeight="1"/>
    <row r="155" ht="18.75" customHeight="1"/>
    <row r="156" ht="18.75" customHeight="1"/>
    <row r="157" ht="18.75" customHeight="1"/>
    <row r="158" ht="18.75" customHeight="1"/>
    <row r="159" ht="18.75" customHeight="1"/>
    <row r="160" ht="18.75" customHeight="1"/>
    <row r="161" ht="18.75" customHeight="1"/>
    <row r="162" ht="18.75" customHeight="1"/>
    <row r="163" ht="18.75" customHeight="1"/>
    <row r="164" ht="18.75" customHeight="1"/>
    <row r="165" ht="18.75" customHeight="1"/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  <row r="951" ht="18.75" customHeight="1"/>
    <row r="952" ht="18.75" customHeight="1"/>
    <row r="953" ht="18.75" customHeight="1"/>
    <row r="954" ht="18.75" customHeight="1"/>
    <row r="955" ht="18.75" customHeight="1"/>
    <row r="956" ht="18.75" customHeight="1"/>
    <row r="957" ht="18.75" customHeight="1"/>
    <row r="958" ht="18.75" customHeight="1"/>
    <row r="959" ht="18.75" customHeight="1"/>
    <row r="960" ht="18.75" customHeight="1"/>
    <row r="961" ht="18.75" customHeight="1"/>
    <row r="962" ht="18.75" customHeight="1"/>
    <row r="963" ht="18.75" customHeight="1"/>
    <row r="964" ht="18.75" customHeight="1"/>
    <row r="965" ht="18.75" customHeight="1"/>
    <row r="966" ht="18.75" customHeight="1"/>
    <row r="967" ht="18.75" customHeight="1"/>
    <row r="968" ht="18.75" customHeight="1"/>
    <row r="969" ht="18.75" customHeight="1"/>
    <row r="970" ht="18.75" customHeight="1"/>
    <row r="971" ht="18.75" customHeight="1"/>
    <row r="972" ht="18.75" customHeight="1"/>
    <row r="973" ht="18.75" customHeight="1"/>
    <row r="974" ht="18.75" customHeight="1"/>
    <row r="975" ht="18.75" customHeight="1"/>
    <row r="976" ht="18.75" customHeight="1"/>
    <row r="977" ht="18.75" customHeight="1"/>
    <row r="978" ht="18.75" customHeight="1"/>
    <row r="979" ht="18.75" customHeight="1"/>
    <row r="980" ht="18.75" customHeight="1"/>
    <row r="981" ht="18.75" customHeight="1"/>
    <row r="982" ht="18.75" customHeight="1"/>
    <row r="983" ht="18.75" customHeight="1"/>
    <row r="984" ht="18.75" customHeight="1"/>
    <row r="985" ht="18.75" customHeight="1"/>
    <row r="986" ht="18.75" customHeight="1"/>
    <row r="987" ht="18.75" customHeight="1"/>
    <row r="988" ht="18.75" customHeight="1"/>
    <row r="989" ht="18.75" customHeight="1"/>
    <row r="990" ht="18.75" customHeight="1"/>
    <row r="991" ht="18.75" customHeight="1"/>
    <row r="992" ht="18.75" customHeight="1"/>
    <row r="993" ht="18.75" customHeight="1"/>
    <row r="994" ht="18.75" customHeight="1"/>
    <row r="995" ht="18.75" customHeight="1"/>
    <row r="996" ht="18.75" customHeight="1"/>
    <row r="997" ht="18.75" customHeight="1"/>
    <row r="998" ht="18.75" customHeight="1"/>
    <row r="999" ht="18.75" customHeight="1"/>
    <row r="1000" ht="18.75" customHeight="1"/>
  </sheetData>
  <conditionalFormatting sqref="B3:B30">
    <cfRule type="expression" priority="1" dxfId="0" stopIfTrue="1">
      <formula>B3="ON"</formula>
    </cfRule>
    <cfRule type="expression" priority="2" dxfId="1" stopIfTrue="1">
      <formula>B3="OFF"</formula>
    </cfRule>
  </conditionalFormatting>
  <conditionalFormatting sqref="C3:C30">
    <cfRule type="expression" priority="3" dxfId="2" stopIfTrue="1">
      <formula>AND($B3="ON", ISBLANK($C3))</formula>
    </cfRule>
  </conditionalFormatting>
  <conditionalFormatting sqref="G3:G30">
    <cfRule type="expression" priority="4" dxfId="2" stopIfTrue="1">
      <formula>AND($B3="ON", ISBLANK($G3))</formula>
    </cfRule>
  </conditionalFormatting>
  <conditionalFormatting sqref="H3:H30">
    <cfRule type="expression" priority="5" dxfId="2" stopIfTrue="1">
      <formula>AND($B3="ON", ISBLANK($H3))</formula>
    </cfRule>
  </conditionalFormatting>
  <conditionalFormatting sqref="J3:J30">
    <cfRule type="expression" priority="6" dxfId="2" stopIfTrue="1">
      <formula>AND($B3="ON", ISBLANK($J3))</formula>
    </cfRule>
  </conditionalFormatting>
  <dataValidations count="2">
    <dataValidation sqref="B3:B30" showDropDown="0" showInputMessage="0" showErrorMessage="1" allowBlank="1" type="list" errorStyle="stop">
      <formula1>"ON, OFF"</formula1>
    </dataValidation>
    <dataValidation sqref="J3:J30" showDropDown="0" showInputMessage="0" showErrorMessage="1" allowBlank="1" type="list" errorStyle="stop">
      <formula1>"string, datetime, duration, integer, number, array, boolean"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9"/>
  <sheetViews>
    <sheetView tabSelected="0"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30" customWidth="1" min="3" max="3"/>
    <col width="30" customWidth="1" min="4" max="4"/>
    <col width="30" customWidth="1" min="5" max="5"/>
    <col width="15" customWidth="1" min="6" max="6"/>
    <col width="15" customWidth="1" min="7" max="7"/>
    <col width="15" customWidth="1" min="8" max="8"/>
    <col width="15" customWidth="1" min="9" max="9"/>
    <col width="20" customWidth="1" min="10" max="10"/>
    <col width="15" customWidth="1" min="11" max="11"/>
    <col width="20" customWidth="1" min="12" max="12"/>
    <col width="15" customWidth="1" min="13" max="13"/>
    <col width="15" customWidth="1" min="14" max="14"/>
    <col width="20" customWidth="1" min="15" max="15"/>
    <col width="20" customWidth="1" min="16" max="16"/>
    <col width="30" customWidth="1" min="17" max="17"/>
    <col width="30" customWidth="1" min="18" max="18"/>
    <col width="30" customWidth="1" min="19" max="19"/>
  </cols>
  <sheetData>
    <row r="1" ht="18.75" customHeight="1">
      <c r="A1" s="1" t="inlineStr">
        <is>
          <t>$schema</t>
        </is>
      </c>
      <c r="B1" s="2" t="inlineStr">
        <is>
          <t>https://json-schema.org/draft/2020-12/schema</t>
        </is>
      </c>
      <c r="C1" s="3" t="n"/>
      <c r="D1" s="3" t="n"/>
      <c r="E1" s="3" t="n"/>
    </row>
    <row r="2" ht="18.75" customHeight="1">
      <c r="A2" s="1" t="inlineStr">
        <is>
          <t>$id</t>
        </is>
      </c>
      <c r="B2" s="16">
        <f>"https://rde.nims.go.jp/rde/dataset-templates/"&amp;説明!B3&amp;"/catalog.schema.json"</f>
        <v/>
      </c>
      <c r="C2" s="3" t="n"/>
      <c r="D2" s="3" t="n"/>
      <c r="E2" s="3" t="n"/>
    </row>
    <row r="3" ht="18.75" customHeight="1">
      <c r="A3" s="1" t="inlineStr">
        <is>
          <t>description</t>
        </is>
      </c>
      <c r="B3" s="16">
        <f>説明!B4&amp;":データカタログ定義"</f>
        <v/>
      </c>
      <c r="C3" s="3" t="n"/>
      <c r="D3" s="3" t="n"/>
      <c r="E3" s="3" t="n"/>
    </row>
    <row r="4" ht="18.75" customHeight="1">
      <c r="A4" s="1" t="inlineStr">
        <is>
          <t>title/ja</t>
        </is>
      </c>
      <c r="B4" s="16">
        <f>説明!B1&amp;":データカタログ定義"</f>
        <v/>
      </c>
      <c r="C4" s="3" t="n"/>
      <c r="D4" s="3" t="n"/>
      <c r="E4" s="3" t="n"/>
    </row>
    <row r="5" ht="18.75" customHeight="1">
      <c r="A5" s="1" t="inlineStr">
        <is>
          <t>title/en</t>
        </is>
      </c>
      <c r="B5" s="16">
        <f>説明!B2&amp;":data catalog format"</f>
        <v/>
      </c>
      <c r="C5" s="3" t="n"/>
      <c r="D5" s="3" t="n"/>
      <c r="E5" s="3" t="n"/>
    </row>
    <row r="6" ht="18.75" customHeight="1"/>
    <row r="7" ht="18.75" customHeight="1">
      <c r="A7" s="13" t="inlineStr">
        <is>
          <t>header</t>
        </is>
      </c>
      <c r="B7" s="13" t="inlineStr">
        <is>
          <t>output</t>
        </is>
      </c>
      <c r="C7" s="13" t="inlineStr">
        <is>
          <t>parameter_name</t>
        </is>
      </c>
      <c r="D7" s="13" t="inlineStr">
        <is>
          <t>label/ja</t>
        </is>
      </c>
      <c r="E7" s="13" t="inlineStr">
        <is>
          <t>label/en</t>
        </is>
      </c>
      <c r="F7" s="13" t="inlineStr">
        <is>
          <t>required</t>
        </is>
      </c>
      <c r="G7" s="13" t="inlineStr">
        <is>
          <t>typeformat</t>
        </is>
      </c>
      <c r="H7" s="13" t="inlineStr">
        <is>
          <t>type</t>
        </is>
      </c>
      <c r="I7" s="13" t="inlineStr">
        <is>
          <t>format</t>
        </is>
      </c>
      <c r="J7" s="13" t="inlineStr">
        <is>
          <t>options/widget</t>
        </is>
      </c>
      <c r="K7" s="13" t="inlineStr">
        <is>
          <t>options/rows</t>
        </is>
      </c>
      <c r="L7" s="13" t="inlineStr">
        <is>
          <t>enum</t>
        </is>
      </c>
      <c r="M7" s="13" t="inlineStr">
        <is>
          <t>description</t>
        </is>
      </c>
      <c r="N7" s="13" t="inlineStr">
        <is>
          <t>examples</t>
        </is>
      </c>
      <c r="O7" s="13" t="inlineStr">
        <is>
          <t>default</t>
        </is>
      </c>
      <c r="P7" s="13" t="inlineStr">
        <is>
          <t>const</t>
        </is>
      </c>
      <c r="Q7" s="13" t="inlineStr">
        <is>
          <t>options/unit</t>
        </is>
      </c>
      <c r="R7" s="13" t="inlineStr">
        <is>
          <t>options/placeholder/ja</t>
        </is>
      </c>
      <c r="S7" s="13" t="inlineStr">
        <is>
          <t>options/placeholder/en</t>
        </is>
      </c>
    </row>
    <row r="8" ht="37.5" customHeight="1">
      <c r="A8" s="13" t="inlineStr">
        <is>
          <r>
            <t>ヘッダー</t>
          </r>
        </is>
      </c>
      <c r="B8" s="13" t="inlineStr">
        <is>
          <r>
            <t xml:space="preserve">出力制御
</t>
          </r>
          <r>
            <rPr>
              <b val="1"/>
              <color rgb="00FF0000"/>
            </rPr>
            <t>(必ず選択)</t>
          </r>
        </is>
      </c>
      <c r="C8" s="13" t="inlineStr">
        <is>
          <r>
            <t xml:space="preserve">パラメータ名
</t>
          </r>
          <r>
            <rPr>
              <b val="1"/>
              <color rgb="00FF0000"/>
            </rPr>
            <t>(必ず記述)</t>
          </r>
        </is>
      </c>
      <c r="D8" s="13" t="inlineStr">
        <is>
          <r>
            <t xml:space="preserve">項目名(日本語)
</t>
          </r>
          <r>
            <rPr>
              <b val="1"/>
              <color rgb="00FF0000"/>
            </rPr>
            <t>(必ず記述)</t>
          </r>
        </is>
      </c>
      <c r="E8" s="13" t="inlineStr">
        <is>
          <r>
            <t xml:space="preserve">項目名(英語)
</t>
          </r>
          <r>
            <rPr>
              <b val="1"/>
              <color rgb="00FF0000"/>
            </rPr>
            <t>(必ず記述)</t>
          </r>
        </is>
      </c>
      <c r="F8" s="13" t="inlineStr">
        <is>
          <r>
            <t xml:space="preserve">必須項目
</t>
          </r>
          <r>
            <rPr>
              <b val="1"/>
              <color rgb="00000000"/>
            </rPr>
            <t>(選択リスト)</t>
          </r>
        </is>
      </c>
      <c r="G8" s="13" t="inlineStr">
        <is>
          <r>
            <t xml:space="preserve">データ形式
</t>
          </r>
          <r>
            <rPr>
              <b val="1"/>
              <color rgb="00FF0000"/>
            </rPr>
            <t>(必ず選択)</t>
          </r>
        </is>
      </c>
      <c r="H8" s="13" t="inlineStr">
        <is>
          <r>
            <t xml:space="preserve">データ型
</t>
          </r>
          <r>
            <rPr>
              <b val="1"/>
              <color rgb="00000000"/>
            </rPr>
            <t>(自動入力)</t>
          </r>
        </is>
      </c>
      <c r="I8" s="13" t="inlineStr">
        <is>
          <r>
            <t xml:space="preserve">フォーマット
</t>
          </r>
          <r>
            <rPr>
              <b val="1"/>
              <color rgb="00000000"/>
            </rPr>
            <t>(自動入力)</t>
          </r>
        </is>
      </c>
      <c r="J8" s="13" t="inlineStr">
        <is>
          <r>
            <t xml:space="preserve">テキストエリア
</t>
          </r>
          <r>
            <rPr>
              <b val="1"/>
              <color rgb="00000000"/>
            </rPr>
            <t>(自動入力)</t>
          </r>
        </is>
      </c>
      <c r="K8" s="13" t="inlineStr">
        <is>
          <r>
            <t xml:space="preserve">行数
</t>
          </r>
          <r>
            <rPr>
              <b val="1"/>
              <color rgb="00000000"/>
            </rPr>
            <t>(数値記述)</t>
          </r>
        </is>
      </c>
      <c r="L8" s="13" t="inlineStr">
        <is>
          <r>
            <t xml:space="preserve">値のリスト
</t>
          </r>
          <r>
            <rPr>
              <b val="1"/>
              <color rgb="00000000"/>
            </rPr>
            <t>(カンマ区切り)</t>
          </r>
        </is>
      </c>
      <c r="M8" s="13" t="inlineStr">
        <is>
          <r>
            <t xml:space="preserve">説明
</t>
          </r>
          <r>
            <rPr>
              <b val="1"/>
              <color rgb="00000000"/>
            </rPr>
            <t>(自由記述)</t>
          </r>
        </is>
      </c>
      <c r="N8" s="13" t="inlineStr">
        <is>
          <r>
            <t xml:space="preserve">内容サンプル
</t>
          </r>
          <r>
            <rPr>
              <b val="1"/>
              <color rgb="00000000"/>
            </rPr>
            <t>(自由記述)</t>
          </r>
        </is>
      </c>
      <c r="O8" s="13" t="inlineStr">
        <is>
          <r>
            <t xml:space="preserve">初期値
</t>
          </r>
          <r>
            <rPr>
              <b val="1"/>
              <color rgb="00000000"/>
            </rPr>
            <t>(自由記述)</t>
          </r>
        </is>
      </c>
      <c r="P8" s="13" t="inlineStr">
        <is>
          <r>
            <t xml:space="preserve">固定値
</t>
          </r>
          <r>
            <rPr>
              <b val="1"/>
              <color rgb="00000000"/>
            </rPr>
            <t>(自由記述)</t>
          </r>
        </is>
      </c>
      <c r="Q8" s="13" t="inlineStr">
        <is>
          <r>
            <t xml:space="preserve">単位
</t>
          </r>
          <r>
            <rPr>
              <b val="1"/>
              <color rgb="00000000"/>
            </rPr>
            <t>(自由記述)</t>
          </r>
        </is>
      </c>
      <c r="R8" s="13" t="inlineStr">
        <is>
          <r>
            <t xml:space="preserve">プレイスホルダ(日本語)
</t>
          </r>
          <r>
            <rPr>
              <b val="1"/>
              <color rgb="00000000"/>
            </rPr>
            <t>(自由記述)</t>
          </r>
        </is>
      </c>
      <c r="S8" s="13" t="inlineStr">
        <is>
          <r>
            <t xml:space="preserve">プレイスホルダ(英語)
</t>
          </r>
          <r>
            <rPr>
              <b val="1"/>
              <color rgb="00000000"/>
            </rPr>
            <t>(自由記述)</t>
          </r>
        </is>
      </c>
    </row>
    <row r="9" ht="18.75" customHeight="1">
      <c r="A9" s="1" t="inlineStr">
        <is>
          <t>data_catalog</t>
        </is>
      </c>
      <c r="B9" s="14" t="inlineStr">
        <is>
          <t>ON</t>
        </is>
      </c>
      <c r="C9" s="2" t="inlineStr">
        <is>
          <t>dataset_title</t>
        </is>
      </c>
      <c r="D9" s="2" t="inlineStr">
        <is>
          <t>データセット名</t>
        </is>
      </c>
      <c r="E9" s="2" t="inlineStr">
        <is>
          <t>Dataset Title</t>
        </is>
      </c>
      <c r="F9" s="14" t="inlineStr">
        <is>
          <t>TRUE</t>
        </is>
      </c>
      <c r="G9" s="2" t="inlineStr">
        <is>
          <t>string</t>
        </is>
      </c>
      <c r="H9" s="16">
        <f>_xlfn.IFS(ISBLANK(G9), "",G9="integer","integer",G9="number","number",G9="boolean","boolean",TRUE,"string")</f>
        <v/>
      </c>
      <c r="I9" s="16">
        <f>_xlfn.IFS(ISBLANK(G9), "",G9="date","date",G9="markdown","markdown",G9="time", "time",G9="uri","uri",G9="uuid","uuid",TRUE,"")</f>
        <v/>
      </c>
      <c r="J9" s="16">
        <f>_xlfn.IFS(ISBLANK(G9), "",G9="textarea","textarea",TRUE,"")</f>
        <v/>
      </c>
      <c r="K9" s="3" t="inlineStr"/>
      <c r="L9" s="18" t="inlineStr"/>
      <c r="M9" s="3" t="inlineStr">
        <is>
          <t>あいうえお</t>
        </is>
      </c>
      <c r="N9" s="18" t="n"/>
      <c r="O9" s="3" t="n"/>
      <c r="P9" s="3" t="inlineStr">
        <is>
          <t>b</t>
        </is>
      </c>
      <c r="Q9" s="3" t="inlineStr">
        <is>
          <t>deg</t>
        </is>
      </c>
      <c r="R9" s="3" t="inlineStr">
        <is>
          <t>タイトルをどうぞ</t>
        </is>
      </c>
      <c r="S9" s="3" t="inlineStr">
        <is>
          <t>Enter Title</t>
        </is>
      </c>
    </row>
    <row r="10" ht="18.75" customHeight="1">
      <c r="A10" s="1" t="inlineStr">
        <is>
          <t>data_catalog</t>
        </is>
      </c>
      <c r="B10" s="14" t="inlineStr">
        <is>
          <t>ON</t>
        </is>
      </c>
      <c r="C10" s="2" t="inlineStr">
        <is>
          <t>data_creator</t>
        </is>
      </c>
      <c r="D10" s="2" t="inlineStr">
        <is>
          <t>作成者</t>
        </is>
      </c>
      <c r="E10" s="2" t="inlineStr">
        <is>
          <t>Data Creator</t>
        </is>
      </c>
      <c r="F10" s="14" t="inlineStr">
        <is>
          <t>TRUE</t>
        </is>
      </c>
      <c r="G10" s="2" t="inlineStr">
        <is>
          <t>textarea</t>
        </is>
      </c>
      <c r="H10" s="16">
        <f>_xlfn.IFS(ISBLANK(G10), "",G10="integer","integer",G10="number","number",G10="boolean","boolean",TRUE,"string")</f>
        <v/>
      </c>
      <c r="I10" s="16">
        <f>_xlfn.IFS(ISBLANK(G10), "",G10="date","date",G10="markdown","markdown",G10="time", "time",G10="uri","uri",G10="uuid","uuid",TRUE,"")</f>
        <v/>
      </c>
      <c r="J10" s="16">
        <f>_xlfn.IFS(ISBLANK(G10), "",G10="textarea","textarea",TRUE,"")</f>
        <v/>
      </c>
      <c r="K10" s="3" t="n">
        <v>3</v>
      </c>
      <c r="L10" s="18" t="inlineStr"/>
      <c r="M10" s="3" t="inlineStr">
        <is>
          <t>かきくけこ</t>
        </is>
      </c>
      <c r="N10" s="18" t="inlineStr">
        <is>
          <t>備考備考
開業後
改行</t>
        </is>
      </c>
      <c r="O10" s="3" t="inlineStr">
        <is>
          <t>ああああああ</t>
        </is>
      </c>
      <c r="P10" s="3" t="n"/>
      <c r="Q10" s="3" t="n"/>
      <c r="R10" s="3" t="inlineStr"/>
      <c r="S10" s="3" t="inlineStr"/>
    </row>
    <row r="11" ht="18.75" customHeight="1">
      <c r="A11" s="1" t="inlineStr">
        <is>
          <t>data_catalog</t>
        </is>
      </c>
      <c r="B11" s="14" t="inlineStr">
        <is>
          <t>ON</t>
        </is>
      </c>
      <c r="C11" s="2" t="inlineStr">
        <is>
          <t>experimental_apparatus</t>
        </is>
      </c>
      <c r="D11" s="2" t="inlineStr">
        <is>
          <t>使用装置</t>
        </is>
      </c>
      <c r="E11" s="2" t="inlineStr">
        <is>
          <t>Experimental Apparatus</t>
        </is>
      </c>
      <c r="F11" s="14" t="inlineStr">
        <is>
          <t>TRUE</t>
        </is>
      </c>
      <c r="G11" s="2" t="inlineStr">
        <is>
          <t>number</t>
        </is>
      </c>
      <c r="H11" s="16">
        <f>_xlfn.IFS(ISBLANK(G11), "",G11="integer","integer",G11="number","number",G11="boolean","boolean",TRUE,"string")</f>
        <v/>
      </c>
      <c r="I11" s="16">
        <f>_xlfn.IFS(ISBLANK(G11), "",G11="date","date",G11="markdown","markdown",G11="time", "time",G11="uri","uri",G11="uuid","uuid",TRUE,"")</f>
        <v/>
      </c>
      <c r="J11" s="16">
        <f>_xlfn.IFS(ISBLANK(G11), "",G11="textarea","textarea",TRUE,"")</f>
        <v/>
      </c>
      <c r="K11" s="3" t="inlineStr"/>
      <c r="L11" s="18" t="inlineStr"/>
      <c r="M11" s="3" t="n"/>
      <c r="N11" s="18" t="n"/>
      <c r="O11" s="3" t="n"/>
      <c r="P11" s="3" t="n"/>
      <c r="Q11" s="3" t="n"/>
      <c r="R11" s="3" t="inlineStr"/>
      <c r="S11" s="3" t="inlineStr"/>
    </row>
    <row r="12" ht="18.75" customHeight="1">
      <c r="A12" s="1" t="inlineStr">
        <is>
          <t>data_catalog</t>
        </is>
      </c>
      <c r="B12" s="14" t="inlineStr">
        <is>
          <t>ON</t>
        </is>
      </c>
      <c r="C12" s="2" t="inlineStr">
        <is>
          <t>data_distribution</t>
        </is>
      </c>
      <c r="D12" s="2" t="inlineStr">
        <is>
          <t>データの再配布</t>
        </is>
      </c>
      <c r="E12" s="2" t="inlineStr">
        <is>
          <t>Data Distribution</t>
        </is>
      </c>
      <c r="F12" s="14" t="inlineStr"/>
      <c r="G12" s="2" t="inlineStr">
        <is>
          <t>integer</t>
        </is>
      </c>
      <c r="H12" s="16">
        <f>_xlfn.IFS(ISBLANK(G12), "",G12="integer","integer",G12="number","number",G12="boolean","boolean",TRUE,"string")</f>
        <v/>
      </c>
      <c r="I12" s="16">
        <f>_xlfn.IFS(ISBLANK(G12), "",G12="date","date",G12="markdown","markdown",G12="time", "time",G12="uri","uri",G12="uuid","uuid",TRUE,"")</f>
        <v/>
      </c>
      <c r="J12" s="16">
        <f>_xlfn.IFS(ISBLANK(G12), "",G12="textarea","textarea",TRUE,"")</f>
        <v/>
      </c>
      <c r="K12" s="3" t="inlineStr"/>
      <c r="L12" s="18" t="inlineStr"/>
      <c r="M12" s="3" t="n"/>
      <c r="N12" s="18" t="n"/>
      <c r="O12" s="3" t="n"/>
      <c r="P12" s="3" t="n"/>
      <c r="Q12" s="3" t="n"/>
      <c r="R12" s="3" t="inlineStr"/>
      <c r="S12" s="3" t="inlineStr"/>
    </row>
    <row r="13" ht="18.75" customHeight="1">
      <c r="A13" s="1" t="inlineStr">
        <is>
          <t>data_catalog</t>
        </is>
      </c>
      <c r="B13" s="14" t="inlineStr">
        <is>
          <t>ON</t>
        </is>
      </c>
      <c r="C13" s="2" t="inlineStr">
        <is>
          <t>raw_data_type</t>
        </is>
      </c>
      <c r="D13" s="2" t="inlineStr">
        <is>
          <t>データの種類</t>
        </is>
      </c>
      <c r="E13" s="2" t="inlineStr">
        <is>
          <t>Raw Data Type</t>
        </is>
      </c>
      <c r="F13" s="14" t="inlineStr"/>
      <c r="G13" s="2" t="inlineStr">
        <is>
          <t>list</t>
        </is>
      </c>
      <c r="H13" s="16">
        <f>_xlfn.IFS(ISBLANK(G13), "",G13="integer","integer",G13="number","number",G13="boolean","boolean",TRUE,"string")</f>
        <v/>
      </c>
      <c r="I13" s="16">
        <f>_xlfn.IFS(ISBLANK(G13), "",G13="date","date",G13="markdown","markdown",G13="time", "time",G13="uri","uri",G13="uuid","uuid",TRUE,"")</f>
        <v/>
      </c>
      <c r="J13" s="16">
        <f>_xlfn.IFS(ISBLANK(G13), "",G13="textarea","textarea",TRUE,"")</f>
        <v/>
      </c>
      <c r="K13" s="3" t="inlineStr"/>
      <c r="L13" s="18" t="inlineStr">
        <is>
          <t>1,2,3</t>
        </is>
      </c>
      <c r="M13" s="3" t="n"/>
      <c r="N13" s="18" t="n"/>
      <c r="O13" s="3" t="n"/>
      <c r="P13" s="3" t="n"/>
      <c r="Q13" s="3" t="n"/>
      <c r="R13" s="3" t="inlineStr"/>
      <c r="S13" s="3" t="inlineStr"/>
    </row>
    <row r="14" ht="18.75" customHeight="1">
      <c r="A14" s="1" t="inlineStr">
        <is>
          <t>data_catalog</t>
        </is>
      </c>
      <c r="B14" s="14" t="inlineStr">
        <is>
          <t>ON</t>
        </is>
      </c>
      <c r="C14" s="2" t="inlineStr">
        <is>
          <t>stored_data</t>
        </is>
      </c>
      <c r="D14" s="2" t="inlineStr">
        <is>
          <t>格納データ</t>
        </is>
      </c>
      <c r="E14" s="2" t="inlineStr">
        <is>
          <t>Stored Data</t>
        </is>
      </c>
      <c r="F14" s="14" t="inlineStr"/>
      <c r="G14" s="2" t="inlineStr">
        <is>
          <t>date</t>
        </is>
      </c>
      <c r="H14" s="16">
        <f>_xlfn.IFS(ISBLANK(G14), "",G14="integer","integer",G14="number","number",G14="boolean","boolean",TRUE,"string")</f>
        <v/>
      </c>
      <c r="I14" s="16">
        <f>_xlfn.IFS(ISBLANK(G14), "",G14="date","date",G14="markdown","markdown",G14="time", "time",G14="uri","uri",G14="uuid","uuid",TRUE,"")</f>
        <v/>
      </c>
      <c r="J14" s="16">
        <f>_xlfn.IFS(ISBLANK(G14), "",G14="textarea","textarea",TRUE,"")</f>
        <v/>
      </c>
      <c r="K14" s="3" t="inlineStr"/>
      <c r="L14" s="18" t="inlineStr"/>
      <c r="M14" s="3" t="n"/>
      <c r="N14" s="18" t="n"/>
      <c r="O14" s="3" t="n"/>
      <c r="P14" s="3" t="n"/>
      <c r="Q14" s="3" t="n"/>
      <c r="R14" s="3" t="inlineStr"/>
      <c r="S14" s="3" t="inlineStr"/>
    </row>
    <row r="15" ht="18.75" customHeight="1">
      <c r="A15" s="1" t="inlineStr">
        <is>
          <t>data_catalog</t>
        </is>
      </c>
      <c r="B15" s="14" t="inlineStr">
        <is>
          <t>ON</t>
        </is>
      </c>
      <c r="C15" s="2" t="inlineStr">
        <is>
          <t>remarks</t>
        </is>
      </c>
      <c r="D15" s="2" t="inlineStr">
        <is>
          <t>備考</t>
        </is>
      </c>
      <c r="E15" s="2" t="inlineStr">
        <is>
          <t>Remarks</t>
        </is>
      </c>
      <c r="F15" s="14" t="inlineStr"/>
      <c r="G15" s="2" t="inlineStr">
        <is>
          <t>markdown</t>
        </is>
      </c>
      <c r="H15" s="16">
        <f>_xlfn.IFS(ISBLANK(G15), "",G15="integer","integer",G15="number","number",G15="boolean","boolean",TRUE,"string")</f>
        <v/>
      </c>
      <c r="I15" s="16">
        <f>_xlfn.IFS(ISBLANK(G15), "",G15="date","date",G15="markdown","markdown",G15="time", "time",G15="uri","uri",G15="uuid","uuid",TRUE,"")</f>
        <v/>
      </c>
      <c r="J15" s="16">
        <f>_xlfn.IFS(ISBLANK(G15), "",G15="textarea","textarea",TRUE,"")</f>
        <v/>
      </c>
      <c r="K15" s="3" t="inlineStr"/>
      <c r="L15" s="18" t="inlineStr"/>
      <c r="M15" s="3" t="n"/>
      <c r="N15" s="18" t="n"/>
      <c r="O15" s="3" t="n"/>
      <c r="P15" s="3" t="n"/>
      <c r="Q15" s="3" t="n"/>
      <c r="R15" s="3" t="inlineStr"/>
      <c r="S15" s="3" t="inlineStr"/>
    </row>
    <row r="16" ht="18.75" customHeight="1">
      <c r="A16" s="1" t="inlineStr">
        <is>
          <t>data_catalog</t>
        </is>
      </c>
      <c r="B16" s="14" t="inlineStr">
        <is>
          <t>ON</t>
        </is>
      </c>
      <c r="C16" s="2" t="inlineStr">
        <is>
          <t>refernces</t>
        </is>
      </c>
      <c r="D16" s="2" t="inlineStr">
        <is>
          <t>参考文献</t>
        </is>
      </c>
      <c r="E16" s="2" t="inlineStr">
        <is>
          <t>References</t>
        </is>
      </c>
      <c r="F16" s="14" t="inlineStr"/>
      <c r="G16" s="2" t="inlineStr">
        <is>
          <t>time</t>
        </is>
      </c>
      <c r="H16" s="16">
        <f>_xlfn.IFS(ISBLANK(G16), "",G16="integer","integer",G16="number","number",G16="boolean","boolean",TRUE,"string")</f>
        <v/>
      </c>
      <c r="I16" s="16">
        <f>_xlfn.IFS(ISBLANK(G16), "",G16="date","date",G16="markdown","markdown",G16="time", "time",G16="uri","uri",G16="uuid","uuid",TRUE,"")</f>
        <v/>
      </c>
      <c r="J16" s="16">
        <f>_xlfn.IFS(ISBLANK(G16), "",G16="textarea","textarea",TRUE,"")</f>
        <v/>
      </c>
      <c r="K16" s="3" t="inlineStr"/>
      <c r="L16" s="18" t="inlineStr"/>
      <c r="M16" s="3" t="n"/>
      <c r="N16" s="18" t="n"/>
      <c r="O16" s="3" t="n"/>
      <c r="P16" s="3" t="n"/>
      <c r="Q16" s="3" t="n"/>
      <c r="R16" s="3" t="inlineStr"/>
      <c r="S16" s="3" t="inlineStr"/>
    </row>
    <row r="17" ht="18.75" customHeight="1">
      <c r="A17" s="1" t="inlineStr">
        <is>
          <t>data_catalog</t>
        </is>
      </c>
      <c r="B17" s="14" t="inlineStr">
        <is>
          <t>ON</t>
        </is>
      </c>
      <c r="C17" s="2" t="inlineStr">
        <is>
          <t>a</t>
        </is>
      </c>
      <c r="D17" s="2" t="inlineStr">
        <is>
          <t>あ</t>
        </is>
      </c>
      <c r="E17" s="2" t="inlineStr">
        <is>
          <t>a</t>
        </is>
      </c>
      <c r="F17" s="14" t="inlineStr"/>
      <c r="G17" s="2" t="inlineStr">
        <is>
          <t>boolean</t>
        </is>
      </c>
      <c r="H17" s="16">
        <f>_xlfn.IFS(ISBLANK(G17), "",G17="integer","integer",G17="number","number",G17="boolean","boolean",TRUE,"string")</f>
        <v/>
      </c>
      <c r="I17" s="16">
        <f>_xlfn.IFS(ISBLANK(G17), "",G17="date","date",G17="markdown","markdown",G17="time", "time",G17="uri","uri",G17="uuid","uuid",TRUE,"")</f>
        <v/>
      </c>
      <c r="J17" s="16">
        <f>_xlfn.IFS(ISBLANK(G17), "",G17="textarea","textarea",TRUE,"")</f>
        <v/>
      </c>
      <c r="K17" s="3" t="inlineStr"/>
      <c r="L17" s="18" t="inlineStr"/>
      <c r="M17" s="3" t="n"/>
      <c r="N17" s="18" t="n"/>
      <c r="O17" s="3" t="n"/>
      <c r="P17" s="3" t="n"/>
      <c r="Q17" s="3" t="n"/>
      <c r="R17" s="3" t="inlineStr"/>
      <c r="S17" s="3" t="inlineStr"/>
    </row>
    <row r="18" ht="18.75" customHeight="1">
      <c r="A18" s="1" t="inlineStr">
        <is>
          <t>data_catalog</t>
        </is>
      </c>
      <c r="B18" s="14" t="inlineStr">
        <is>
          <t>ON</t>
        </is>
      </c>
      <c r="C18" s="2" t="inlineStr">
        <is>
          <t>b</t>
        </is>
      </c>
      <c r="D18" s="2" t="inlineStr">
        <is>
          <t>い</t>
        </is>
      </c>
      <c r="E18" s="2" t="inlineStr">
        <is>
          <t>i</t>
        </is>
      </c>
      <c r="F18" s="14" t="inlineStr"/>
      <c r="G18" s="2" t="inlineStr">
        <is>
          <t>string</t>
        </is>
      </c>
      <c r="H18" s="16">
        <f>_xlfn.IFS(ISBLANK(G18), "",G18="integer","integer",G18="number","number",G18="boolean","boolean",TRUE,"string")</f>
        <v/>
      </c>
      <c r="I18" s="16">
        <f>_xlfn.IFS(ISBLANK(G18), "",G18="date","date",G18="markdown","markdown",G18="time", "time",G18="uri","uri",G18="uuid","uuid",TRUE,"")</f>
        <v/>
      </c>
      <c r="J18" s="16">
        <f>_xlfn.IFS(ISBLANK(G18), "",G18="textarea","textarea",TRUE,"")</f>
        <v/>
      </c>
      <c r="K18" s="3" t="inlineStr"/>
      <c r="L18" s="18" t="inlineStr"/>
      <c r="M18" s="3" t="n"/>
      <c r="N18" s="18" t="n"/>
      <c r="O18" s="3" t="n"/>
      <c r="P18" s="3" t="n"/>
      <c r="Q18" s="3" t="n"/>
      <c r="R18" s="3" t="inlineStr"/>
      <c r="S18" s="3" t="inlineStr"/>
    </row>
    <row r="19" ht="18.75" customHeight="1">
      <c r="A19" s="1" t="inlineStr">
        <is>
          <t>data_catalog</t>
        </is>
      </c>
      <c r="B19" s="14" t="inlineStr">
        <is>
          <t>ON</t>
        </is>
      </c>
      <c r="C19" s="2" t="inlineStr">
        <is>
          <t>c</t>
        </is>
      </c>
      <c r="D19" s="2" t="inlineStr">
        <is>
          <t>う</t>
        </is>
      </c>
      <c r="E19" s="2" t="inlineStr">
        <is>
          <t>u</t>
        </is>
      </c>
      <c r="F19" s="14" t="inlineStr"/>
      <c r="G19" s="2" t="inlineStr">
        <is>
          <t>uuid</t>
        </is>
      </c>
      <c r="H19" s="16">
        <f>_xlfn.IFS(ISBLANK(G19), "",G19="integer","integer",G19="number","number",G19="boolean","boolean",TRUE,"string")</f>
        <v/>
      </c>
      <c r="I19" s="16">
        <f>_xlfn.IFS(ISBLANK(G19), "",G19="date","date",G19="markdown","markdown",G19="time", "time",G19="uri","uri",G19="uuid","uuid",TRUE,"")</f>
        <v/>
      </c>
      <c r="J19" s="16">
        <f>_xlfn.IFS(ISBLANK(G19), "",G19="textarea","textarea",TRUE,"")</f>
        <v/>
      </c>
      <c r="K19" s="3" t="inlineStr"/>
      <c r="L19" s="18" t="inlineStr"/>
      <c r="M19" s="3" t="n"/>
      <c r="N19" s="18" t="n"/>
      <c r="O19" s="3" t="n"/>
      <c r="P19" s="3" t="n"/>
      <c r="Q19" s="3" t="n"/>
      <c r="R19" s="3" t="inlineStr"/>
      <c r="S19" s="3" t="inlineStr"/>
    </row>
    <row r="20" ht="18.75" customHeight="1">
      <c r="A20" s="1" t="inlineStr">
        <is>
          <t>data_catalog</t>
        </is>
      </c>
      <c r="B20" s="14" t="inlineStr">
        <is>
          <t>OFF</t>
        </is>
      </c>
      <c r="C20" s="2" t="inlineStr"/>
      <c r="D20" s="2" t="inlineStr"/>
      <c r="E20" s="2" t="inlineStr"/>
      <c r="F20" s="14" t="inlineStr"/>
      <c r="G20" s="2" t="n"/>
      <c r="H20" s="16">
        <f>_xlfn.IFS(ISBLANK(G20), "",G20="integer","integer",G20="number","number",G20="boolean","boolean",TRUE,"string")</f>
        <v/>
      </c>
      <c r="I20" s="16">
        <f>_xlfn.IFS(ISBLANK(G20), "",G20="date","date",G20="markdown","markdown",G20="time", "time",G20="uri","uri",G20="uuid","uuid",TRUE,"")</f>
        <v/>
      </c>
      <c r="J20" s="16">
        <f>_xlfn.IFS(ISBLANK(G20), "",G20="textarea","textarea",TRUE,"")</f>
        <v/>
      </c>
      <c r="K20" s="3" t="inlineStr"/>
      <c r="L20" s="18" t="inlineStr"/>
      <c r="M20" s="3" t="n"/>
      <c r="N20" s="18" t="n"/>
      <c r="O20" s="3" t="n"/>
      <c r="P20" s="3" t="n"/>
      <c r="Q20" s="3" t="n"/>
      <c r="R20" s="3" t="inlineStr"/>
      <c r="S20" s="3" t="inlineStr"/>
    </row>
    <row r="21" ht="18.75" customHeight="1">
      <c r="A21" s="1" t="inlineStr">
        <is>
          <t>data_catalog</t>
        </is>
      </c>
      <c r="B21" s="14" t="inlineStr">
        <is>
          <t>OFF</t>
        </is>
      </c>
      <c r="C21" s="2" t="inlineStr"/>
      <c r="D21" s="2" t="inlineStr"/>
      <c r="E21" s="2" t="inlineStr"/>
      <c r="F21" s="14" t="inlineStr"/>
      <c r="G21" s="2" t="n"/>
      <c r="H21" s="16">
        <f>_xlfn.IFS(ISBLANK(G21), "",G21="integer","integer",G21="number","number",G21="boolean","boolean",TRUE,"string")</f>
        <v/>
      </c>
      <c r="I21" s="16">
        <f>_xlfn.IFS(ISBLANK(G21), "",G21="date","date",G21="markdown","markdown",G21="time", "time",G21="uri","uri",G21="uuid","uuid",TRUE,"")</f>
        <v/>
      </c>
      <c r="J21" s="16">
        <f>_xlfn.IFS(ISBLANK(G21), "",G21="textarea","textarea",TRUE,"")</f>
        <v/>
      </c>
      <c r="K21" s="3" t="inlineStr"/>
      <c r="L21" s="18" t="inlineStr"/>
      <c r="M21" s="3" t="n"/>
      <c r="N21" s="18" t="n"/>
      <c r="O21" s="3" t="n"/>
      <c r="P21" s="3" t="n"/>
      <c r="Q21" s="3" t="n"/>
      <c r="R21" s="3" t="inlineStr"/>
      <c r="S21" s="3" t="inlineStr"/>
    </row>
    <row r="22" ht="18.75" customHeight="1">
      <c r="A22" s="1" t="inlineStr">
        <is>
          <t>data_catalog</t>
        </is>
      </c>
      <c r="B22" s="14" t="inlineStr">
        <is>
          <t>OFF</t>
        </is>
      </c>
      <c r="C22" s="2" t="inlineStr"/>
      <c r="D22" s="2" t="inlineStr"/>
      <c r="E22" s="2" t="inlineStr"/>
      <c r="F22" s="14" t="inlineStr"/>
      <c r="G22" s="2" t="n"/>
      <c r="H22" s="16">
        <f>_xlfn.IFS(ISBLANK(G22), "",G22="integer","integer",G22="number","number",G22="boolean","boolean",TRUE,"string")</f>
        <v/>
      </c>
      <c r="I22" s="16">
        <f>_xlfn.IFS(ISBLANK(G22), "",G22="date","date",G22="markdown","markdown",G22="time", "time",G22="uri","uri",G22="uuid","uuid",TRUE,"")</f>
        <v/>
      </c>
      <c r="J22" s="16">
        <f>_xlfn.IFS(ISBLANK(G22), "",G22="textarea","textarea",TRUE,"")</f>
        <v/>
      </c>
      <c r="K22" s="3" t="inlineStr"/>
      <c r="L22" s="18" t="inlineStr"/>
      <c r="M22" s="3" t="n"/>
      <c r="N22" s="18" t="n"/>
      <c r="O22" s="3" t="n"/>
      <c r="P22" s="3" t="n"/>
      <c r="Q22" s="3" t="n"/>
      <c r="R22" s="3" t="inlineStr"/>
      <c r="S22" s="3" t="inlineStr"/>
    </row>
    <row r="23" ht="18.75" customHeight="1">
      <c r="A23" s="1" t="inlineStr">
        <is>
          <t>data_catalog</t>
        </is>
      </c>
      <c r="B23" s="14" t="inlineStr">
        <is>
          <t>OFF</t>
        </is>
      </c>
      <c r="C23" s="2" t="inlineStr"/>
      <c r="D23" s="2" t="inlineStr"/>
      <c r="E23" s="2" t="inlineStr"/>
      <c r="F23" s="14" t="inlineStr"/>
      <c r="G23" s="2" t="n"/>
      <c r="H23" s="16">
        <f>_xlfn.IFS(ISBLANK(G23), "",G23="integer","integer",G23="number","number",G23="boolean","boolean",TRUE,"string")</f>
        <v/>
      </c>
      <c r="I23" s="16">
        <f>_xlfn.IFS(ISBLANK(G23), "",G23="date","date",G23="markdown","markdown",G23="time", "time",G23="uri","uri",G23="uuid","uuid",TRUE,"")</f>
        <v/>
      </c>
      <c r="J23" s="16">
        <f>_xlfn.IFS(ISBLANK(G23), "",G23="textarea","textarea",TRUE,"")</f>
        <v/>
      </c>
      <c r="K23" s="3" t="inlineStr"/>
      <c r="L23" s="18" t="inlineStr"/>
      <c r="M23" s="3" t="n"/>
      <c r="N23" s="18" t="n"/>
      <c r="O23" s="3" t="n"/>
      <c r="P23" s="3" t="n"/>
      <c r="Q23" s="3" t="n"/>
      <c r="R23" s="3" t="inlineStr"/>
      <c r="S23" s="3" t="inlineStr"/>
    </row>
    <row r="24" ht="18.75" customHeight="1">
      <c r="A24" s="1" t="inlineStr">
        <is>
          <t>data_catalog</t>
        </is>
      </c>
      <c r="B24" s="14" t="inlineStr">
        <is>
          <t>OFF</t>
        </is>
      </c>
      <c r="C24" s="2" t="inlineStr"/>
      <c r="D24" s="2" t="inlineStr"/>
      <c r="E24" s="2" t="inlineStr"/>
      <c r="F24" s="14" t="inlineStr"/>
      <c r="G24" s="2" t="n"/>
      <c r="H24" s="16">
        <f>_xlfn.IFS(ISBLANK(G24), "",G24="integer","integer",G24="number","number",G24="boolean","boolean",TRUE,"string")</f>
        <v/>
      </c>
      <c r="I24" s="16">
        <f>_xlfn.IFS(ISBLANK(G24), "",G24="date","date",G24="markdown","markdown",G24="time", "time",G24="uri","uri",G24="uuid","uuid",TRUE,"")</f>
        <v/>
      </c>
      <c r="J24" s="16">
        <f>_xlfn.IFS(ISBLANK(G24), "",G24="textarea","textarea",TRUE,"")</f>
        <v/>
      </c>
      <c r="K24" s="3" t="inlineStr"/>
      <c r="L24" s="18" t="inlineStr"/>
      <c r="M24" s="3" t="n"/>
      <c r="N24" s="18" t="n"/>
      <c r="O24" s="3" t="n"/>
      <c r="P24" s="3" t="n"/>
      <c r="Q24" s="3" t="n"/>
      <c r="R24" s="3" t="inlineStr"/>
      <c r="S24" s="3" t="inlineStr"/>
    </row>
    <row r="25" ht="18.75" customHeight="1">
      <c r="A25" s="1" t="inlineStr">
        <is>
          <t>data_catalog</t>
        </is>
      </c>
      <c r="B25" s="14" t="inlineStr">
        <is>
          <t>OFF</t>
        </is>
      </c>
      <c r="C25" s="2" t="inlineStr"/>
      <c r="D25" s="2" t="inlineStr"/>
      <c r="E25" s="2" t="inlineStr"/>
      <c r="F25" s="14" t="inlineStr"/>
      <c r="G25" s="2" t="n"/>
      <c r="H25" s="16">
        <f>_xlfn.IFS(ISBLANK(G25), "",G25="integer","integer",G25="number","number",G25="boolean","boolean",TRUE,"string")</f>
        <v/>
      </c>
      <c r="I25" s="16">
        <f>_xlfn.IFS(ISBLANK(G25), "",G25="date","date",G25="markdown","markdown",G25="time", "time",G25="uri","uri",G25="uuid","uuid",TRUE,"")</f>
        <v/>
      </c>
      <c r="J25" s="16">
        <f>_xlfn.IFS(ISBLANK(G25), "",G25="textarea","textarea",TRUE,"")</f>
        <v/>
      </c>
      <c r="K25" s="3" t="inlineStr"/>
      <c r="L25" s="18" t="inlineStr"/>
      <c r="M25" s="3" t="n"/>
      <c r="N25" s="18" t="n"/>
      <c r="O25" s="3" t="n"/>
      <c r="P25" s="3" t="n"/>
      <c r="Q25" s="3" t="n"/>
      <c r="R25" s="3" t="inlineStr"/>
      <c r="S25" s="3" t="inlineStr"/>
    </row>
    <row r="26" ht="18.75" customHeight="1">
      <c r="A26" s="1" t="inlineStr">
        <is>
          <t>data_catalog</t>
        </is>
      </c>
      <c r="B26" s="14" t="inlineStr">
        <is>
          <t>OFF</t>
        </is>
      </c>
      <c r="C26" s="2" t="inlineStr"/>
      <c r="D26" s="2" t="inlineStr"/>
      <c r="E26" s="2" t="inlineStr"/>
      <c r="F26" s="14" t="inlineStr"/>
      <c r="G26" s="2" t="n"/>
      <c r="H26" s="16">
        <f>_xlfn.IFS(ISBLANK(G26), "",G26="integer","integer",G26="number","number",G26="boolean","boolean",TRUE,"string")</f>
        <v/>
      </c>
      <c r="I26" s="16">
        <f>_xlfn.IFS(ISBLANK(G26), "",G26="date","date",G26="markdown","markdown",G26="time", "time",G26="uri","uri",G26="uuid","uuid",TRUE,"")</f>
        <v/>
      </c>
      <c r="J26" s="16">
        <f>_xlfn.IFS(ISBLANK(G26), "",G26="textarea","textarea",TRUE,"")</f>
        <v/>
      </c>
      <c r="K26" s="3" t="inlineStr"/>
      <c r="L26" s="18" t="inlineStr"/>
      <c r="M26" s="3" t="n"/>
      <c r="N26" s="18" t="n"/>
      <c r="O26" s="3" t="n"/>
      <c r="P26" s="3" t="n"/>
      <c r="Q26" s="3" t="n"/>
      <c r="R26" s="3" t="inlineStr"/>
      <c r="S26" s="3" t="inlineStr"/>
    </row>
    <row r="27" ht="18.75" customHeight="1">
      <c r="A27" s="1" t="inlineStr">
        <is>
          <t>data_catalog</t>
        </is>
      </c>
      <c r="B27" s="14" t="inlineStr">
        <is>
          <t>OFF</t>
        </is>
      </c>
      <c r="C27" s="2" t="inlineStr"/>
      <c r="D27" s="2" t="inlineStr"/>
      <c r="E27" s="2" t="inlineStr"/>
      <c r="F27" s="14" t="inlineStr"/>
      <c r="G27" s="2" t="n"/>
      <c r="H27" s="16">
        <f>_xlfn.IFS(ISBLANK(G27), "",G27="integer","integer",G27="number","number",G27="boolean","boolean",TRUE,"string")</f>
        <v/>
      </c>
      <c r="I27" s="16">
        <f>_xlfn.IFS(ISBLANK(G27), "",G27="date","date",G27="markdown","markdown",G27="time", "time",G27="uri","uri",G27="uuid","uuid",TRUE,"")</f>
        <v/>
      </c>
      <c r="J27" s="16">
        <f>_xlfn.IFS(ISBLANK(G27), "",G27="textarea","textarea",TRUE,"")</f>
        <v/>
      </c>
      <c r="K27" s="3" t="inlineStr"/>
      <c r="L27" s="18" t="inlineStr"/>
      <c r="M27" s="3" t="n"/>
      <c r="N27" s="18" t="n"/>
      <c r="O27" s="3" t="n"/>
      <c r="P27" s="3" t="n"/>
      <c r="Q27" s="3" t="n"/>
      <c r="R27" s="3" t="inlineStr"/>
      <c r="S27" s="3" t="inlineStr"/>
    </row>
    <row r="28" ht="18.75" customHeight="1">
      <c r="A28" s="1" t="inlineStr">
        <is>
          <t>data_catalog</t>
        </is>
      </c>
      <c r="B28" s="14" t="inlineStr">
        <is>
          <t>OFF</t>
        </is>
      </c>
      <c r="C28" s="2" t="inlineStr"/>
      <c r="D28" s="2" t="inlineStr"/>
      <c r="E28" s="2" t="inlineStr"/>
      <c r="F28" s="14" t="inlineStr"/>
      <c r="G28" s="2" t="n"/>
      <c r="H28" s="16">
        <f>_xlfn.IFS(ISBLANK(G28), "",G28="integer","integer",G28="number","number",G28="boolean","boolean",TRUE,"string")</f>
        <v/>
      </c>
      <c r="I28" s="16">
        <f>_xlfn.IFS(ISBLANK(G28), "",G28="date","date",G28="markdown","markdown",G28="time", "time",G28="uri","uri",G28="uuid","uuid",TRUE,"")</f>
        <v/>
      </c>
      <c r="J28" s="16">
        <f>_xlfn.IFS(ISBLANK(G28), "",G28="textarea","textarea",TRUE,"")</f>
        <v/>
      </c>
      <c r="K28" s="3" t="inlineStr"/>
      <c r="L28" s="18" t="inlineStr"/>
      <c r="M28" s="3" t="n"/>
      <c r="N28" s="18" t="n"/>
      <c r="O28" s="3" t="n"/>
      <c r="P28" s="3" t="n"/>
      <c r="Q28" s="3" t="n"/>
      <c r="R28" s="3" t="inlineStr"/>
      <c r="S28" s="3" t="inlineStr"/>
    </row>
    <row r="29" ht="18.75" customHeight="1">
      <c r="A29" s="1" t="inlineStr">
        <is>
          <t>data_catalog</t>
        </is>
      </c>
      <c r="B29" s="14" t="inlineStr">
        <is>
          <t>OFF</t>
        </is>
      </c>
      <c r="C29" s="2" t="inlineStr"/>
      <c r="D29" s="2" t="inlineStr"/>
      <c r="E29" s="2" t="inlineStr"/>
      <c r="F29" s="14" t="inlineStr"/>
      <c r="G29" s="2" t="n"/>
      <c r="H29" s="16">
        <f>_xlfn.IFS(ISBLANK(G29), "",G29="integer","integer",G29="number","number",G29="boolean","boolean",TRUE,"string")</f>
        <v/>
      </c>
      <c r="I29" s="16">
        <f>_xlfn.IFS(ISBLANK(G29), "",G29="date","date",G29="markdown","markdown",G29="time", "time",G29="uri","uri",G29="uuid","uuid",TRUE,"")</f>
        <v/>
      </c>
      <c r="J29" s="16">
        <f>_xlfn.IFS(ISBLANK(G29), "",G29="textarea","textarea",TRUE,"")</f>
        <v/>
      </c>
      <c r="K29" s="3" t="inlineStr"/>
      <c r="L29" s="18" t="inlineStr"/>
      <c r="M29" s="3" t="n"/>
      <c r="N29" s="18" t="n"/>
      <c r="O29" s="3" t="n"/>
      <c r="P29" s="3" t="n"/>
      <c r="Q29" s="3" t="n"/>
      <c r="R29" s="3" t="inlineStr"/>
      <c r="S29" s="3" t="inlineStr"/>
    </row>
    <row r="30" ht="18.75" customHeight="1"/>
    <row r="31" ht="18.75" customHeight="1"/>
    <row r="32" ht="18.75" customHeight="1"/>
    <row r="33" ht="18.75" customHeight="1"/>
    <row r="34" ht="18.75" customHeight="1"/>
    <row r="35" ht="18.75" customHeight="1"/>
    <row r="36" ht="18.75" customHeight="1"/>
    <row r="37" ht="18.75" customHeight="1"/>
    <row r="38" ht="18.75" customHeight="1"/>
    <row r="39" ht="18.75" customHeight="1"/>
    <row r="40" ht="18.75" customHeight="1"/>
    <row r="41" ht="18.75" customHeight="1"/>
    <row r="42" ht="18.75" customHeight="1"/>
    <row r="43" ht="18.75" customHeight="1"/>
    <row r="44" ht="18.75" customHeight="1"/>
    <row r="45" ht="18.75" customHeight="1"/>
    <row r="46" ht="18.75" customHeight="1"/>
    <row r="47" ht="18.75" customHeight="1"/>
    <row r="48" ht="18.75" customHeight="1"/>
    <row r="49" ht="18.75" customHeight="1"/>
    <row r="50" ht="18.75" customHeight="1"/>
    <row r="51" ht="18.75" customHeight="1"/>
    <row r="52" ht="18.75" customHeight="1"/>
    <row r="53" ht="18.75" customHeight="1"/>
    <row r="54" ht="18.75" customHeight="1"/>
    <row r="55" ht="18.75" customHeight="1"/>
    <row r="56" ht="18.75" customHeight="1"/>
    <row r="57" ht="18.75" customHeight="1"/>
    <row r="58" ht="18.75" customHeight="1"/>
    <row r="59" ht="18.75" customHeight="1"/>
    <row r="60" ht="18.75" customHeight="1"/>
    <row r="61" ht="18.75" customHeight="1"/>
    <row r="62" ht="18.75" customHeight="1"/>
    <row r="63" ht="18.75" customHeight="1"/>
    <row r="64" ht="18.75" customHeight="1"/>
    <row r="65" ht="18.75" customHeight="1"/>
    <row r="66" ht="18.75" customHeight="1"/>
    <row r="67" ht="18.75" customHeight="1"/>
    <row r="68" ht="18.75" customHeight="1"/>
    <row r="69" ht="18.75" customHeight="1"/>
    <row r="70" ht="18.75" customHeight="1"/>
    <row r="71" ht="18.75" customHeight="1"/>
    <row r="72" ht="18.75" customHeight="1"/>
    <row r="73" ht="18.75" customHeight="1"/>
    <row r="74" ht="18.75" customHeight="1"/>
    <row r="75" ht="18.75" customHeight="1"/>
    <row r="76" ht="18.75" customHeight="1"/>
    <row r="77" ht="18.75" customHeight="1"/>
    <row r="78" ht="18.75" customHeight="1"/>
    <row r="79" ht="18.75" customHeight="1"/>
    <row r="80" ht="18.75" customHeight="1"/>
    <row r="81" ht="18.75" customHeight="1"/>
    <row r="82" ht="18.75" customHeight="1"/>
    <row r="83" ht="18.75" customHeight="1"/>
    <row r="84" ht="18.75" customHeight="1"/>
    <row r="85" ht="18.75" customHeight="1"/>
    <row r="86" ht="18.75" customHeight="1"/>
    <row r="87" ht="18.75" customHeight="1"/>
    <row r="88" ht="18.75" customHeight="1"/>
    <row r="89" ht="18.75" customHeight="1"/>
    <row r="90" ht="18.75" customHeight="1"/>
    <row r="91" ht="18.75" customHeight="1"/>
    <row r="92" ht="18.75" customHeight="1"/>
    <row r="93" ht="18.75" customHeight="1"/>
    <row r="94" ht="18.75" customHeight="1"/>
    <row r="95" ht="18.75" customHeight="1"/>
    <row r="96" ht="18.75" customHeight="1"/>
    <row r="97" ht="18.75" customHeight="1"/>
    <row r="98" ht="18.75" customHeight="1"/>
    <row r="99" ht="18.75" customHeight="1"/>
    <row r="100" ht="18.75" customHeight="1"/>
    <row r="101" ht="18.75" customHeight="1"/>
    <row r="102" ht="18.75" customHeight="1"/>
    <row r="103" ht="18.75" customHeight="1"/>
    <row r="104" ht="18.75" customHeight="1"/>
    <row r="105" ht="18.75" customHeight="1"/>
    <row r="106" ht="18.75" customHeight="1"/>
    <row r="107" ht="18.75" customHeight="1"/>
    <row r="108" ht="18.75" customHeight="1"/>
    <row r="109" ht="18.75" customHeight="1"/>
    <row r="110" ht="18.75" customHeight="1"/>
    <row r="111" ht="18.75" customHeight="1"/>
    <row r="112" ht="18.75" customHeight="1"/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  <row r="141" ht="18.75" customHeight="1"/>
    <row r="142" ht="18.75" customHeight="1"/>
    <row r="143" ht="18.75" customHeight="1"/>
    <row r="144" ht="18.75" customHeight="1"/>
    <row r="145" ht="18.75" customHeight="1"/>
    <row r="146" ht="18.75" customHeight="1"/>
    <row r="147" ht="18.75" customHeight="1"/>
    <row r="148" ht="18.75" customHeight="1"/>
    <row r="149" ht="18.75" customHeight="1"/>
    <row r="150" ht="18.75" customHeight="1"/>
    <row r="151" ht="18.75" customHeight="1"/>
    <row r="152" ht="18.75" customHeight="1"/>
    <row r="153" ht="18.75" customHeight="1"/>
    <row r="154" ht="18.75" customHeight="1"/>
    <row r="155" ht="18.75" customHeight="1"/>
    <row r="156" ht="18.75" customHeight="1"/>
    <row r="157" ht="18.75" customHeight="1"/>
    <row r="158" ht="18.75" customHeight="1"/>
    <row r="159" ht="18.75" customHeight="1"/>
    <row r="160" ht="18.75" customHeight="1"/>
    <row r="161" ht="18.75" customHeight="1"/>
    <row r="162" ht="18.75" customHeight="1"/>
    <row r="163" ht="18.75" customHeight="1"/>
    <row r="164" ht="18.75" customHeight="1"/>
    <row r="165" ht="18.75" customHeight="1"/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  <row r="951" ht="18.75" customHeight="1"/>
    <row r="952" ht="18.75" customHeight="1"/>
    <row r="953" ht="18.75" customHeight="1"/>
    <row r="954" ht="18.75" customHeight="1"/>
    <row r="955" ht="18.75" customHeight="1"/>
    <row r="956" ht="18.75" customHeight="1"/>
    <row r="957" ht="18.75" customHeight="1"/>
    <row r="958" ht="18.75" customHeight="1"/>
    <row r="959" ht="18.75" customHeight="1"/>
    <row r="960" ht="18.75" customHeight="1"/>
    <row r="961" ht="18.75" customHeight="1"/>
    <row r="962" ht="18.75" customHeight="1"/>
    <row r="963" ht="18.75" customHeight="1"/>
    <row r="964" ht="18.75" customHeight="1"/>
    <row r="965" ht="18.75" customHeight="1"/>
    <row r="966" ht="18.75" customHeight="1"/>
    <row r="967" ht="18.75" customHeight="1"/>
    <row r="968" ht="18.75" customHeight="1"/>
    <row r="969" ht="18.75" customHeight="1"/>
    <row r="970" ht="18.75" customHeight="1"/>
    <row r="971" ht="18.75" customHeight="1"/>
    <row r="972" ht="18.75" customHeight="1"/>
    <row r="973" ht="18.75" customHeight="1"/>
    <row r="974" ht="18.75" customHeight="1"/>
    <row r="975" ht="18.75" customHeight="1"/>
    <row r="976" ht="18.75" customHeight="1"/>
    <row r="977" ht="18.75" customHeight="1"/>
    <row r="978" ht="18.75" customHeight="1"/>
    <row r="979" ht="18.75" customHeight="1"/>
    <row r="980" ht="18.75" customHeight="1"/>
    <row r="981" ht="18.75" customHeight="1"/>
    <row r="982" ht="18.75" customHeight="1"/>
    <row r="983" ht="18.75" customHeight="1"/>
    <row r="984" ht="18.75" customHeight="1"/>
    <row r="985" ht="18.75" customHeight="1"/>
    <row r="986" ht="18.75" customHeight="1"/>
    <row r="987" ht="18.75" customHeight="1"/>
    <row r="988" ht="18.75" customHeight="1"/>
    <row r="989" ht="18.75" customHeight="1"/>
    <row r="990" ht="18.75" customHeight="1"/>
    <row r="991" ht="18.75" customHeight="1"/>
    <row r="992" ht="18.75" customHeight="1"/>
    <row r="993" ht="18.75" customHeight="1"/>
    <row r="994" ht="18.75" customHeight="1"/>
    <row r="995" ht="18.75" customHeight="1"/>
    <row r="996" ht="18.75" customHeight="1"/>
    <row r="997" ht="18.75" customHeight="1"/>
    <row r="998" ht="18.75" customHeight="1"/>
    <row r="999" ht="18.75" customHeight="1"/>
    <row r="1000" ht="18.75" customHeight="1"/>
  </sheetData>
  <mergeCells count="5">
    <mergeCell ref="B1:E1"/>
    <mergeCell ref="B4:E4"/>
    <mergeCell ref="B3:E3"/>
    <mergeCell ref="B5:E5"/>
    <mergeCell ref="B2:E2"/>
  </mergeCells>
  <conditionalFormatting sqref="B1">
    <cfRule type="expression" priority="1" dxfId="2" stopIfTrue="1">
      <formula>ISBLANK($B$1)</formula>
    </cfRule>
  </conditionalFormatting>
  <conditionalFormatting sqref="B9:B29">
    <cfRule type="expression" priority="2" dxfId="0" stopIfTrue="1">
      <formula>$B9="ON"</formula>
    </cfRule>
    <cfRule type="expression" priority="3" dxfId="1" stopIfTrue="1">
      <formula>$B9="OFF"</formula>
    </cfRule>
  </conditionalFormatting>
  <conditionalFormatting sqref="C9:C29">
    <cfRule type="expression" priority="4" dxfId="2" stopIfTrue="1">
      <formula>AND($B9="ON", ISBLANK($C9))</formula>
    </cfRule>
  </conditionalFormatting>
  <conditionalFormatting sqref="D9:D29">
    <cfRule type="expression" priority="5" dxfId="2" stopIfTrue="1">
      <formula>AND($B9="ON", ISBLANK($D9))</formula>
    </cfRule>
  </conditionalFormatting>
  <conditionalFormatting sqref="E9:E29">
    <cfRule type="expression" priority="6" dxfId="2" stopIfTrue="1">
      <formula>AND($B9="ON", ISBLANK($E9))</formula>
    </cfRule>
  </conditionalFormatting>
  <conditionalFormatting sqref="G9:G29">
    <cfRule type="expression" priority="7" dxfId="2" stopIfTrue="1">
      <formula>AND($B9="ON", ISBLANK($G9))</formula>
    </cfRule>
  </conditionalFormatting>
  <conditionalFormatting sqref="K9:K29">
    <cfRule type="expression" priority="8" dxfId="2" stopIfTrue="1">
      <formula>AND($B9="ON",$G9="textarea",ISBLANK($K9))</formula>
    </cfRule>
    <cfRule type="expression" priority="9" dxfId="3" stopIfTrue="1">
      <formula>AND($B9="ON",$G9="textarea",NOT(ISBLANK($K9)))</formula>
    </cfRule>
    <cfRule type="expression" priority="10" dxfId="4" stopIfTrue="1">
      <formula>AND(B9="ON", $G9&lt;&gt;"textarea")</formula>
    </cfRule>
  </conditionalFormatting>
  <conditionalFormatting sqref="L9:L29">
    <cfRule type="expression" priority="11" dxfId="2" stopIfTrue="1">
      <formula>AND($B9="ON",$G9="list",ISBLANK($L9))</formula>
    </cfRule>
    <cfRule type="expression" priority="12" dxfId="3" stopIfTrue="1">
      <formula>AND($B9="ON",$G9="list",NOT(ISBLANK($L9)))</formula>
    </cfRule>
    <cfRule type="expression" priority="13" dxfId="4" stopIfTrue="1">
      <formula>AND($B9="ON", $G9&lt;&gt;"list")</formula>
    </cfRule>
  </conditionalFormatting>
  <dataValidations count="3">
    <dataValidation sqref="B9:B29" showDropDown="0" showInputMessage="0" showErrorMessage="1" allowBlank="1" type="list" errorStyle="stop">
      <formula1>"ON, OFF"</formula1>
    </dataValidation>
    <dataValidation sqref="G9:G29" showDropDown="0" showInputMessage="0" showErrorMessage="1" allowBlank="1" type="list" errorStyle="stop">
      <formula1>"string, textarea, number, integer, list, date, markdown, time, boolean, uri, uuid"</formula1>
    </dataValidation>
    <dataValidation sqref="F9:F29" showDropDown="0" showInputMessage="0" showErrorMessage="1" allowBlank="1" type="list" errorStyle="stop">
      <formula1>" ,TRUE"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41"/>
  <sheetViews>
    <sheetView tabSelected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45" customWidth="1" min="4" max="4"/>
    <col width="20" customWidth="1" min="5" max="5"/>
    <col width="25" customWidth="1" min="6" max="6"/>
    <col width="40" customWidth="1" min="7" max="7"/>
    <col width="30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0" customWidth="1" min="14" max="14"/>
    <col width="15" customWidth="1" min="15" max="15"/>
    <col width="20" customWidth="1" min="16" max="16"/>
    <col width="15" customWidth="1" min="17" max="17"/>
    <col width="15" customWidth="1" min="18" max="18"/>
    <col width="12" customWidth="1" min="19" max="19"/>
    <col width="12" customWidth="1" min="20" max="20"/>
    <col width="30" customWidth="1" min="21" max="21"/>
    <col width="30" customWidth="1" min="22" max="22"/>
    <col width="15" customWidth="1" min="23" max="23"/>
    <col width="22" customWidth="1" min="24" max="24"/>
    <col width="15" customWidth="1" min="25" max="25"/>
    <col width="22" customWidth="1" min="26" max="26"/>
    <col width="15" customWidth="1" min="27" max="27"/>
    <col width="15" customWidth="1" min="28" max="28"/>
    <col width="15" customWidth="1" min="29" max="29"/>
  </cols>
  <sheetData>
    <row r="1" ht="18.75" customHeight="1">
      <c r="A1" s="1" t="inlineStr">
        <is>
          <t>$schema</t>
        </is>
      </c>
      <c r="B1" s="2" t="inlineStr">
        <is>
          <t>https://json-schema.org/draft/2020-12/schema</t>
        </is>
      </c>
      <c r="C1" s="3" t="n"/>
      <c r="D1" s="3" t="n"/>
      <c r="E1" s="3" t="n"/>
    </row>
    <row r="2" ht="18.75" customHeight="1">
      <c r="A2" s="1" t="inlineStr">
        <is>
          <t>$id</t>
        </is>
      </c>
      <c r="B2" s="16">
        <f>"https://rde.nims.go.jp/rde/dataset-templates/"&amp;説明!B3&amp;"/invoice.schema.json"</f>
        <v/>
      </c>
      <c r="C2" s="3" t="n"/>
      <c r="D2" s="3" t="n"/>
      <c r="E2" s="3" t="n"/>
    </row>
    <row r="3" ht="18.75" customHeight="1">
      <c r="A3" s="1" t="inlineStr">
        <is>
          <t>description</t>
        </is>
      </c>
      <c r="B3" s="16">
        <f>説明!B4&amp;":送状定義"</f>
        <v/>
      </c>
      <c r="C3" s="3" t="n"/>
      <c r="D3" s="3" t="n"/>
      <c r="E3" s="3" t="n"/>
    </row>
    <row r="4" ht="18.75" customHeight="1"/>
    <row r="5" ht="18.75" customHeight="1">
      <c r="A5" s="13" t="inlineStr">
        <is>
          <t>header</t>
        </is>
      </c>
      <c r="B5" s="13" t="inlineStr">
        <is>
          <t>category_name</t>
        </is>
      </c>
      <c r="C5" s="13" t="inlineStr">
        <is>
          <t>output</t>
        </is>
      </c>
      <c r="D5" s="13" t="inlineStr">
        <is>
          <t>parameter_name</t>
        </is>
      </c>
      <c r="E5" s="13" t="inlineStr">
        <is>
          <t>term</t>
        </is>
      </c>
      <c r="F5" s="13" t="inlineStr">
        <is>
          <t>label/ja</t>
        </is>
      </c>
      <c r="G5" s="13" t="inlineStr">
        <is>
          <t>label/en</t>
        </is>
      </c>
      <c r="H5" s="13" t="inlineStr">
        <is>
          <t>description</t>
        </is>
      </c>
      <c r="I5" s="13" t="inlineStr">
        <is>
          <t>examples</t>
        </is>
      </c>
      <c r="J5" s="13" t="inlineStr">
        <is>
          <t>options/unit</t>
        </is>
      </c>
      <c r="K5" s="13" t="inlineStr">
        <is>
          <t>taxonomy</t>
        </is>
      </c>
      <c r="L5" s="13" t="inlineStr">
        <is>
          <t>required</t>
        </is>
      </c>
      <c r="M5" s="13" t="inlineStr">
        <is>
          <t>typeformat</t>
        </is>
      </c>
      <c r="N5" s="13" t="inlineStr">
        <is>
          <t>type</t>
        </is>
      </c>
      <c r="O5" s="13" t="inlineStr">
        <is>
          <t>format</t>
        </is>
      </c>
      <c r="P5" s="13" t="inlineStr">
        <is>
          <t>options/widget</t>
        </is>
      </c>
      <c r="Q5" s="13" t="inlineStr">
        <is>
          <t>options/rows</t>
        </is>
      </c>
      <c r="R5" s="13" t="inlineStr">
        <is>
          <t>enum</t>
        </is>
      </c>
      <c r="S5" s="13" t="inlineStr">
        <is>
          <t>default</t>
        </is>
      </c>
      <c r="T5" s="13" t="inlineStr">
        <is>
          <t>const</t>
        </is>
      </c>
      <c r="U5" s="13" t="inlineStr">
        <is>
          <t>options/placeholder/ja</t>
        </is>
      </c>
      <c r="V5" s="13" t="inlineStr">
        <is>
          <t>options/placeholder/en</t>
        </is>
      </c>
      <c r="W5" s="13" t="inlineStr">
        <is>
          <t>maximum</t>
        </is>
      </c>
      <c r="X5" s="13" t="inlineStr">
        <is>
          <t>exclusiveMaximum</t>
        </is>
      </c>
      <c r="Y5" s="13" t="inlineStr">
        <is>
          <t>minimum</t>
        </is>
      </c>
      <c r="Z5" s="13" t="inlineStr">
        <is>
          <t>exclusiveMinimum</t>
        </is>
      </c>
      <c r="AA5" s="13" t="inlineStr">
        <is>
          <t>maxLength</t>
        </is>
      </c>
      <c r="AB5" s="13" t="inlineStr">
        <is>
          <t>minLength</t>
        </is>
      </c>
      <c r="AC5" s="13" t="inlineStr">
        <is>
          <t>pattern</t>
        </is>
      </c>
    </row>
    <row r="6" ht="37.5" customHeight="1">
      <c r="A6" s="13" t="inlineStr">
        <is>
          <r>
            <t>ヘッダー</t>
          </r>
        </is>
      </c>
      <c r="B6" s="13" t="inlineStr">
        <is>
          <r>
            <t>カテゴリー名</t>
          </r>
        </is>
      </c>
      <c r="C6" s="13" t="inlineStr">
        <is>
          <r>
            <t xml:space="preserve">出力制御
</t>
          </r>
          <r>
            <rPr>
              <b val="1"/>
              <color rgb="00000000"/>
            </rPr>
            <t>(必ず選択)</t>
          </r>
        </is>
      </c>
      <c r="D6" s="13" t="inlineStr">
        <is>
          <r>
            <t xml:space="preserve">パラメータ名
</t>
          </r>
          <r>
            <rPr>
              <b val="1"/>
              <color rgb="00FF0000"/>
            </rPr>
            <t>(必ず記述)</t>
          </r>
        </is>
      </c>
      <c r="E6" s="13" t="inlineStr">
        <is>
          <r>
            <t xml:space="preserve">用語名
</t>
          </r>
          <r>
            <rPr>
              <b val="1"/>
              <color rgb="00FF0000"/>
            </rPr>
            <t>(必ず選択)</t>
          </r>
        </is>
      </c>
      <c r="F6" s="13" t="inlineStr">
        <is>
          <r>
            <t xml:space="preserve">項目名(日本語)
</t>
          </r>
          <r>
            <rPr>
              <b val="1"/>
              <color rgb="00FF0000"/>
            </rPr>
            <t>(必ず記述)</t>
          </r>
        </is>
      </c>
      <c r="G6" s="13" t="inlineStr">
        <is>
          <r>
            <t xml:space="preserve">項目名(英語)
</t>
          </r>
          <r>
            <rPr>
              <b val="1"/>
              <color rgb="00FF0000"/>
            </rPr>
            <t>(必ず記述)</t>
          </r>
        </is>
      </c>
      <c r="H6" s="13" t="inlineStr">
        <is>
          <r>
            <t xml:space="preserve">説明
</t>
          </r>
          <r>
            <rPr>
              <b val="1"/>
              <color rgb="00000000"/>
            </rPr>
            <t>(自由記述)</t>
          </r>
        </is>
      </c>
      <c r="I6" s="13" t="inlineStr">
        <is>
          <r>
            <t xml:space="preserve">内容サンプル
</t>
          </r>
          <r>
            <rPr>
              <b val="1"/>
              <color rgb="00000000"/>
            </rPr>
            <t>(自由記述)</t>
          </r>
        </is>
      </c>
      <c r="J6" s="13" t="inlineStr">
        <is>
          <r>
            <t xml:space="preserve">単位
</t>
          </r>
          <r>
            <rPr>
              <b val="1"/>
              <color rgb="00000000"/>
            </rPr>
            <t>(自由記述)</t>
          </r>
        </is>
      </c>
      <c r="K6" s="13" t="inlineStr">
        <is>
          <r>
            <t xml:space="preserve">タクソノミー
</t>
          </r>
          <r>
            <rPr>
              <b val="1"/>
              <color rgb="00000000"/>
            </rPr>
            <t>(番号記述)</t>
          </r>
        </is>
      </c>
      <c r="L6" s="13" t="inlineStr">
        <is>
          <r>
            <t xml:space="preserve">必須項目
</t>
          </r>
          <r>
            <rPr>
              <b val="1"/>
              <color rgb="00000000"/>
            </rPr>
            <t>(選択リスト)</t>
          </r>
        </is>
      </c>
      <c r="M6" s="13" t="inlineStr">
        <is>
          <r>
            <t xml:space="preserve">データ形式
</t>
          </r>
          <r>
            <rPr>
              <b val="1"/>
              <color rgb="00FF0000"/>
            </rPr>
            <t>(必ず選択)</t>
          </r>
        </is>
      </c>
      <c r="N6" s="13" t="inlineStr">
        <is>
          <r>
            <t xml:space="preserve">データ型
</t>
          </r>
          <r>
            <rPr>
              <b val="1"/>
              <color rgb="00000000"/>
            </rPr>
            <t>(自動入力)</t>
          </r>
        </is>
      </c>
      <c r="O6" s="13" t="inlineStr">
        <is>
          <r>
            <t xml:space="preserve">フォーマット
</t>
          </r>
          <r>
            <rPr>
              <b val="1"/>
              <color rgb="00000000"/>
            </rPr>
            <t>(自動入力)</t>
          </r>
        </is>
      </c>
      <c r="P6" s="13" t="inlineStr">
        <is>
          <r>
            <t xml:space="preserve">テキストエリア
</t>
          </r>
          <r>
            <rPr>
              <b val="1"/>
              <color rgb="00000000"/>
            </rPr>
            <t>(自動入力)</t>
          </r>
        </is>
      </c>
      <c r="Q6" s="13" t="inlineStr">
        <is>
          <r>
            <t xml:space="preserve">行数
</t>
          </r>
          <r>
            <rPr>
              <b val="1"/>
              <color rgb="00000000"/>
            </rPr>
            <t>(数値記述)</t>
          </r>
        </is>
      </c>
      <c r="R6" s="13" t="inlineStr">
        <is>
          <r>
            <t xml:space="preserve">値のリスト
</t>
          </r>
          <r>
            <rPr>
              <b val="1"/>
              <color rgb="00000000"/>
            </rPr>
            <t>(カンマ区切り)</t>
          </r>
        </is>
      </c>
      <c r="S6" s="13" t="inlineStr">
        <is>
          <r>
            <t xml:space="preserve">初期値
</t>
          </r>
          <r>
            <rPr>
              <b val="1"/>
              <color rgb="00000000"/>
            </rPr>
            <t>(自由記述)</t>
          </r>
        </is>
      </c>
      <c r="T6" s="13" t="inlineStr">
        <is>
          <r>
            <t xml:space="preserve">固定値
</t>
          </r>
          <r>
            <rPr>
              <b val="1"/>
              <color rgb="00000000"/>
            </rPr>
            <t>(自由記述)</t>
          </r>
        </is>
      </c>
      <c r="U6" s="13" t="inlineStr">
        <is>
          <r>
            <t xml:space="preserve">プレイスホルダ(日本語)
</t>
          </r>
          <r>
            <rPr>
              <b val="1"/>
              <color rgb="00000000"/>
            </rPr>
            <t>(自由記述)</t>
          </r>
        </is>
      </c>
      <c r="V6" s="13" t="inlineStr">
        <is>
          <r>
            <t xml:space="preserve">プレイスホルダ(英語)
</t>
          </r>
          <r>
            <rPr>
              <b val="1"/>
              <color rgb="00000000"/>
            </rPr>
            <t>(自由記述)</t>
          </r>
        </is>
      </c>
      <c r="W6" s="13" t="inlineStr">
        <is>
          <r>
            <t xml:space="preserve">数値上限(以下)
</t>
          </r>
          <r>
            <rPr>
              <b val="1"/>
              <color rgb="00000000"/>
            </rPr>
            <t>(数値記述)</t>
          </r>
        </is>
      </c>
      <c r="X6" s="13" t="inlineStr">
        <is>
          <r>
            <t xml:space="preserve">数値上限(未満)
</t>
          </r>
          <r>
            <rPr>
              <b val="1"/>
              <color rgb="00000000"/>
            </rPr>
            <t>(数値記述)</t>
          </r>
        </is>
      </c>
      <c r="Y6" s="13" t="inlineStr">
        <is>
          <r>
            <t xml:space="preserve">数値下限(以上)
</t>
          </r>
          <r>
            <rPr>
              <b val="1"/>
              <color rgb="00000000"/>
            </rPr>
            <t>(数値記述)</t>
          </r>
        </is>
      </c>
      <c r="Z6" s="13" t="inlineStr">
        <is>
          <r>
            <t xml:space="preserve">数値下限(より上)
</t>
          </r>
          <r>
            <rPr>
              <b val="1"/>
              <color rgb="00000000"/>
            </rPr>
            <t>(数値記述)</t>
          </r>
        </is>
      </c>
      <c r="AA6" s="13" t="inlineStr">
        <is>
          <r>
            <t xml:space="preserve">最大文字数
</t>
          </r>
          <r>
            <rPr>
              <b val="1"/>
              <color rgb="00000000"/>
            </rPr>
            <t>(数値記述)</t>
          </r>
        </is>
      </c>
      <c r="AB6" s="13" t="inlineStr">
        <is>
          <r>
            <t xml:space="preserve">最小文字数
</t>
          </r>
          <r>
            <rPr>
              <b val="1"/>
              <color rgb="00000000"/>
            </rPr>
            <t>(数値記述)</t>
          </r>
        </is>
      </c>
      <c r="AC6" s="13" t="inlineStr">
        <is>
          <r>
            <t xml:space="preserve">正規表現
</t>
          </r>
          <r>
            <rPr>
              <b val="1"/>
              <color rgb="00000000"/>
            </rPr>
            <t>(自由記述)</t>
          </r>
        </is>
      </c>
    </row>
    <row r="7" ht="18.75" customHeight="1">
      <c r="A7" s="19" t="inlineStr">
        <is>
          <t>custom</t>
        </is>
      </c>
      <c r="B7" s="19" t="inlineStr">
        <is>
          <t>固有情報</t>
        </is>
      </c>
      <c r="C7" s="15" t="inlineStr">
        <is>
          <t>ON</t>
        </is>
      </c>
      <c r="D7" s="16">
        <f>SUBSTITUTE(LOWER($G7)," ","_")</f>
        <v/>
      </c>
      <c r="E7" s="20" t="inlineStr"/>
      <c r="F7" s="2" t="inlineStr">
        <is>
          <t>測定日時</t>
        </is>
      </c>
      <c r="G7" s="2" t="inlineStr">
        <is>
          <t>measurement date</t>
        </is>
      </c>
      <c r="H7" s="3" t="inlineStr">
        <is>
          <t>測定日時(必須)</t>
        </is>
      </c>
      <c r="I7" s="18" t="inlineStr">
        <is>
          <t>2024-07-17</t>
        </is>
      </c>
      <c r="J7" s="3" t="n"/>
      <c r="K7" s="3" t="n"/>
      <c r="L7" s="14" t="inlineStr">
        <is>
          <t>TRUE</t>
        </is>
      </c>
      <c r="M7" s="2" t="inlineStr">
        <is>
          <t>date</t>
        </is>
      </c>
      <c r="N7" s="16">
        <f>_xlfn.IFS(ISBLANK(M7), "",M7="integer","integer",M7="number","number",M7="boolean","boolean",TRUE,"string")</f>
        <v/>
      </c>
      <c r="O7" s="16">
        <f>_xlfn.IFS(ISBLANK(M7), "",M7="date","date",M7="markdown","markdown",M7="time", "time",M7="uri","uri",M7="uuid","uuid",TRUE,"")</f>
        <v/>
      </c>
      <c r="P7" s="16">
        <f>_xlfn.IFS(ISBLANK(M7), "",M7="textarea","textarea",TRUE,"")</f>
        <v/>
      </c>
      <c r="Q7" s="20" t="inlineStr"/>
      <c r="R7" s="21" t="inlineStr"/>
      <c r="S7" s="3" t="n"/>
      <c r="T7" s="3" t="n"/>
      <c r="U7" s="3" t="inlineStr">
        <is>
          <t>測定日時をYYYY/MM/DD形式で入力してください(必須項目です)</t>
        </is>
      </c>
      <c r="V7" s="3" t="inlineStr"/>
      <c r="W7" s="3" t="n"/>
      <c r="X7" s="3" t="n"/>
      <c r="Y7" s="3" t="n"/>
      <c r="Z7" s="3" t="n"/>
      <c r="AA7" s="3" t="n"/>
      <c r="AB7" s="3" t="n"/>
      <c r="AC7" s="3" t="n"/>
    </row>
    <row r="8" ht="18.75" customHeight="1">
      <c r="A8" s="22" t="n"/>
      <c r="B8" s="22" t="n"/>
      <c r="C8" s="15" t="inlineStr">
        <is>
          <t>ON</t>
        </is>
      </c>
      <c r="D8" s="16">
        <f>SUBSTITUTE(LOWER($G8)," ","_")</f>
        <v/>
      </c>
      <c r="E8" s="20" t="inlineStr"/>
      <c r="F8" s="2" t="inlineStr">
        <is>
          <t>送状状数値入力値1</t>
        </is>
      </c>
      <c r="G8" s="2" t="inlineStr">
        <is>
          <t>invoice_number1</t>
        </is>
      </c>
      <c r="H8" s="3" t="n"/>
      <c r="I8" s="18" t="n">
        <v>99</v>
      </c>
      <c r="J8" s="3" t="n"/>
      <c r="K8" s="3" t="n"/>
      <c r="L8" s="14" t="inlineStr"/>
      <c r="M8" s="2" t="inlineStr">
        <is>
          <t>number</t>
        </is>
      </c>
      <c r="N8" s="16">
        <f>_xlfn.IFS(ISBLANK(M8), "",M8="integer","integer",M8="number","number",M8="boolean","boolean",TRUE,"string")</f>
        <v/>
      </c>
      <c r="O8" s="16">
        <f>_xlfn.IFS(ISBLANK(M8), "",M8="date","date",M8="markdown","markdown",M8="time", "time",M8="uri","uri",M8="uuid","uuid",TRUE,"")</f>
        <v/>
      </c>
      <c r="P8" s="16">
        <f>_xlfn.IFS(ISBLANK(M8), "",M8="textarea","textarea",TRUE,"")</f>
        <v/>
      </c>
      <c r="Q8" s="20" t="inlineStr"/>
      <c r="R8" s="21" t="inlineStr"/>
      <c r="S8" s="3" t="n"/>
      <c r="T8" s="3" t="n"/>
      <c r="U8" s="3" t="inlineStr">
        <is>
          <t>数値を入力してください</t>
        </is>
      </c>
      <c r="V8" s="3" t="inlineStr"/>
      <c r="W8" s="3" t="n">
        <v>100</v>
      </c>
      <c r="X8" s="3" t="n"/>
      <c r="Y8" s="3" t="n">
        <v>-100</v>
      </c>
      <c r="Z8" s="3" t="n"/>
      <c r="AA8" s="3" t="n"/>
      <c r="AB8" s="3" t="n"/>
      <c r="AC8" s="3" t="n"/>
    </row>
    <row r="9" ht="18.75" customHeight="1">
      <c r="A9" s="22" t="n"/>
      <c r="B9" s="22" t="n"/>
      <c r="C9" s="15" t="inlineStr">
        <is>
          <t>ON</t>
        </is>
      </c>
      <c r="D9" s="16">
        <f>SUBSTITUTE(LOWER($G9)," ","_")</f>
        <v/>
      </c>
      <c r="E9" s="20" t="inlineStr"/>
      <c r="F9" s="2" t="inlineStr">
        <is>
          <t>送状状数値入力値2</t>
        </is>
      </c>
      <c r="G9" s="2" t="inlineStr">
        <is>
          <t>invoice_number2</t>
        </is>
      </c>
      <c r="H9" s="3" t="n"/>
      <c r="I9" s="18" t="n">
        <v>2</v>
      </c>
      <c r="J9" s="3" t="n"/>
      <c r="K9" s="3" t="n"/>
      <c r="L9" s="14" t="inlineStr"/>
      <c r="M9" s="2" t="inlineStr">
        <is>
          <t>number</t>
        </is>
      </c>
      <c r="N9" s="16">
        <f>_xlfn.IFS(ISBLANK(M9), "",M9="integer","integer",M9="number","number",M9="boolean","boolean",TRUE,"string")</f>
        <v/>
      </c>
      <c r="O9" s="16">
        <f>_xlfn.IFS(ISBLANK(M9), "",M9="date","date",M9="markdown","markdown",M9="time", "time",M9="uri","uri",M9="uuid","uuid",TRUE,"")</f>
        <v/>
      </c>
      <c r="P9" s="16">
        <f>_xlfn.IFS(ISBLANK(M9), "",M9="textarea","textarea",TRUE,"")</f>
        <v/>
      </c>
      <c r="Q9" s="20" t="inlineStr"/>
      <c r="R9" s="21" t="inlineStr"/>
      <c r="S9" s="3" t="n"/>
      <c r="T9" s="3" t="n"/>
      <c r="U9" s="3" t="inlineStr">
        <is>
          <t>数値を入力してください</t>
        </is>
      </c>
      <c r="V9" s="3" t="inlineStr"/>
      <c r="W9" s="3" t="n"/>
      <c r="X9" s="3" t="n"/>
      <c r="Y9" s="3" t="n"/>
      <c r="Z9" s="3" t="n"/>
      <c r="AA9" s="3" t="n"/>
      <c r="AB9" s="3" t="n"/>
      <c r="AC9" s="3" t="n"/>
    </row>
    <row r="10" ht="18.75" customHeight="1">
      <c r="A10" s="22" t="n"/>
      <c r="B10" s="22" t="n"/>
      <c r="C10" s="15" t="inlineStr">
        <is>
          <t>ON</t>
        </is>
      </c>
      <c r="D10" s="16">
        <f>SUBSTITUTE(LOWER($G10)," ","_")</f>
        <v/>
      </c>
      <c r="E10" s="20" t="inlineStr"/>
      <c r="F10" s="2" t="inlineStr">
        <is>
          <t>送状文字入力値1</t>
        </is>
      </c>
      <c r="G10" s="2" t="inlineStr">
        <is>
          <t>invoice_string1</t>
        </is>
      </c>
      <c r="H10" s="3" t="n"/>
      <c r="I10" s="18" t="inlineStr">
        <is>
          <t>送状文字入力値1必須</t>
        </is>
      </c>
      <c r="J10" s="3" t="n"/>
      <c r="K10" s="3" t="n"/>
      <c r="L10" s="14" t="inlineStr">
        <is>
          <t>TRUE</t>
        </is>
      </c>
      <c r="M10" s="2" t="inlineStr">
        <is>
          <t>string</t>
        </is>
      </c>
      <c r="N10" s="16">
        <f>_xlfn.IFS(ISBLANK(M10), "",M10="integer","integer",M10="number","number",M10="boolean","boolean",TRUE,"string")</f>
        <v/>
      </c>
      <c r="O10" s="16">
        <f>_xlfn.IFS(ISBLANK(M10), "",M10="date","date",M10="markdown","markdown",M10="time", "time",M10="uri","uri",M10="uuid","uuid",TRUE,"")</f>
        <v/>
      </c>
      <c r="P10" s="16">
        <f>_xlfn.IFS(ISBLANK(M10), "",M10="textarea","textarea",TRUE,"")</f>
        <v/>
      </c>
      <c r="Q10" s="20" t="inlineStr"/>
      <c r="R10" s="21" t="inlineStr"/>
      <c r="S10" s="3" t="n"/>
      <c r="T10" s="3" t="n"/>
      <c r="U10" s="3" t="inlineStr">
        <is>
          <t>文字列を入力してください(必須項目です)</t>
        </is>
      </c>
      <c r="V10" s="3" t="inlineStr"/>
      <c r="W10" s="3" t="n"/>
      <c r="X10" s="3" t="n"/>
      <c r="Y10" s="3" t="n"/>
      <c r="Z10" s="3" t="n"/>
      <c r="AA10" s="3" t="n">
        <v>128</v>
      </c>
      <c r="AB10" s="3" t="n"/>
      <c r="AC10" s="3" t="n"/>
    </row>
    <row r="11" ht="18.75" customHeight="1">
      <c r="A11" s="22" t="n"/>
      <c r="B11" s="22" t="n"/>
      <c r="C11" s="15" t="inlineStr">
        <is>
          <t>ON</t>
        </is>
      </c>
      <c r="D11" s="16">
        <f>SUBSTITUTE(LOWER($G11)," ","_")</f>
        <v/>
      </c>
      <c r="E11" s="20" t="inlineStr"/>
      <c r="F11" s="2" t="inlineStr">
        <is>
          <t>送状文字入力値2</t>
        </is>
      </c>
      <c r="G11" s="2" t="inlineStr">
        <is>
          <t>invoice_string2</t>
        </is>
      </c>
      <c r="H11" s="3" t="n"/>
      <c r="I11" s="18" t="inlineStr">
        <is>
          <t>送状文字入力値2</t>
        </is>
      </c>
      <c r="J11" s="3" t="n"/>
      <c r="K11" s="3" t="n"/>
      <c r="L11" s="14" t="inlineStr"/>
      <c r="M11" s="2" t="inlineStr">
        <is>
          <t>textarea</t>
        </is>
      </c>
      <c r="N11" s="16">
        <f>_xlfn.IFS(ISBLANK(M11), "",M11="integer","integer",M11="number","number",M11="boolean","boolean",TRUE,"string")</f>
        <v/>
      </c>
      <c r="O11" s="16">
        <f>_xlfn.IFS(ISBLANK(M11), "",M11="date","date",M11="markdown","markdown",M11="time", "time",M11="uri","uri",M11="uuid","uuid",TRUE,"")</f>
        <v/>
      </c>
      <c r="P11" s="16">
        <f>_xlfn.IFS(ISBLANK(M11), "",M11="textarea","textarea",TRUE,"")</f>
        <v/>
      </c>
      <c r="Q11" s="20" t="n">
        <v>3</v>
      </c>
      <c r="R11" s="21" t="inlineStr"/>
      <c r="S11" s="3" t="n"/>
      <c r="T11" s="3" t="n"/>
      <c r="U11" s="3" t="inlineStr">
        <is>
          <t>文字列を入力してください</t>
        </is>
      </c>
      <c r="V11" s="3" t="inlineStr"/>
      <c r="W11" s="3" t="n"/>
      <c r="X11" s="3" t="n"/>
      <c r="Y11" s="3" t="n"/>
      <c r="Z11" s="3" t="n"/>
      <c r="AA11" s="3" t="n"/>
      <c r="AB11" s="3" t="n"/>
      <c r="AC11" s="3" t="n"/>
    </row>
    <row r="12" ht="18.75" customHeight="1">
      <c r="A12" s="22" t="n"/>
      <c r="B12" s="22" t="n"/>
      <c r="C12" s="15" t="inlineStr">
        <is>
          <t>ON</t>
        </is>
      </c>
      <c r="D12" s="16">
        <f>SUBSTITUTE(LOWER($G12)," ","_")</f>
        <v/>
      </c>
      <c r="E12" s="20" t="inlineStr"/>
      <c r="F12" s="2" t="inlineStr">
        <is>
          <t>送状状選択値1</t>
        </is>
      </c>
      <c r="G12" s="2" t="inlineStr">
        <is>
          <t>invoice_list1</t>
        </is>
      </c>
      <c r="H12" s="3" t="n"/>
      <c r="I12" s="18" t="inlineStr">
        <is>
          <t>selectable1</t>
        </is>
      </c>
      <c r="J12" s="3" t="n"/>
      <c r="K12" s="3" t="n"/>
      <c r="L12" s="14" t="inlineStr"/>
      <c r="M12" s="2" t="inlineStr">
        <is>
          <t>list</t>
        </is>
      </c>
      <c r="N12" s="16">
        <f>_xlfn.IFS(ISBLANK(M12), "",M12="integer","integer",M12="number","number",M12="boolean","boolean",TRUE,"string")</f>
        <v/>
      </c>
      <c r="O12" s="16">
        <f>_xlfn.IFS(ISBLANK(M12), "",M12="date","date",M12="markdown","markdown",M12="time", "time",M12="uri","uri",M12="uuid","uuid",TRUE,"")</f>
        <v/>
      </c>
      <c r="P12" s="16">
        <f>_xlfn.IFS(ISBLANK(M12), "",M12="textarea","textarea",TRUE,"")</f>
        <v/>
      </c>
      <c r="Q12" s="20" t="inlineStr"/>
      <c r="R12" s="21" t="inlineStr">
        <is>
          <t>selectable1,selectable2,selectable3</t>
        </is>
      </c>
      <c r="S12" s="3" t="n"/>
      <c r="T12" s="3" t="n"/>
      <c r="U12" s="3" t="inlineStr">
        <is>
          <t>選択肢から選択してください</t>
        </is>
      </c>
      <c r="V12" s="3" t="inlineStr"/>
      <c r="W12" s="3" t="n"/>
      <c r="X12" s="3" t="n"/>
      <c r="Y12" s="3" t="n"/>
      <c r="Z12" s="3" t="n"/>
      <c r="AA12" s="3" t="n"/>
      <c r="AB12" s="3" t="n"/>
      <c r="AC12" s="3" t="n"/>
    </row>
    <row r="13" ht="18.75" customHeight="1">
      <c r="A13" s="22" t="n"/>
      <c r="B13" s="22" t="n"/>
      <c r="C13" s="15" t="inlineStr">
        <is>
          <t>ON</t>
        </is>
      </c>
      <c r="D13" s="16">
        <f>SUBSTITUTE(LOWER($G13)," ","_")</f>
        <v/>
      </c>
      <c r="E13" s="20" t="inlineStr"/>
      <c r="F13" s="2" t="inlineStr">
        <is>
          <t>系列ごとの登録の有無</t>
        </is>
      </c>
      <c r="G13" s="2" t="inlineStr">
        <is>
          <t>is_divided</t>
        </is>
      </c>
      <c r="H13" s="3" t="n"/>
      <c r="I13" s="18" t="n"/>
      <c r="J13" s="3" t="n"/>
      <c r="K13" s="3" t="n"/>
      <c r="L13" s="14" t="inlineStr">
        <is>
          <t>TRUE</t>
        </is>
      </c>
      <c r="M13" s="2" t="inlineStr">
        <is>
          <t>list</t>
        </is>
      </c>
      <c r="N13" s="16">
        <f>_xlfn.IFS(ISBLANK(M13), "",M13="integer","integer",M13="number","number",M13="boolean","boolean",TRUE,"string")</f>
        <v/>
      </c>
      <c r="O13" s="16">
        <f>_xlfn.IFS(ISBLANK(M13), "",M13="date","date",M13="markdown","markdown",M13="time", "time",M13="uri","uri",M13="uuid","uuid",TRUE,"")</f>
        <v/>
      </c>
      <c r="P13" s="16">
        <f>_xlfn.IFS(ISBLANK(M13), "",M13="textarea","textarea",TRUE,"")</f>
        <v/>
      </c>
      <c r="Q13" s="20" t="inlineStr"/>
      <c r="R13" s="21" t="inlineStr">
        <is>
          <t>divided,not_divided</t>
        </is>
      </c>
      <c r="S13" s="3" t="inlineStr">
        <is>
          <t>divided</t>
        </is>
      </c>
      <c r="T13" s="3" t="n"/>
      <c r="U13" s="3" t="inlineStr"/>
      <c r="V13" s="3" t="inlineStr"/>
      <c r="W13" s="3" t="n"/>
      <c r="X13" s="3" t="n"/>
      <c r="Y13" s="3" t="n"/>
      <c r="Z13" s="3" t="n"/>
      <c r="AA13" s="3" t="n"/>
      <c r="AB13" s="3" t="n"/>
      <c r="AC13" s="3" t="n"/>
    </row>
    <row r="14" ht="18.75" customHeight="1">
      <c r="A14" s="22" t="n"/>
      <c r="B14" s="22" t="n"/>
      <c r="C14" s="15" t="inlineStr">
        <is>
          <t>ON</t>
        </is>
      </c>
      <c r="D14" s="16">
        <f>SUBSTITUTE(LOWER($G14)," ","_")</f>
        <v/>
      </c>
      <c r="E14" s="20" t="inlineStr"/>
      <c r="F14" s="2" t="inlineStr">
        <is>
          <t>RAWデータの共有の可否</t>
        </is>
      </c>
      <c r="G14" s="2" t="inlineStr">
        <is>
          <t>is_private_raw</t>
        </is>
      </c>
      <c r="H14" s="3" t="n"/>
      <c r="I14" s="18" t="inlineStr">
        <is>
          <t>share</t>
        </is>
      </c>
      <c r="J14" s="3" t="n"/>
      <c r="K14" s="3" t="n"/>
      <c r="L14" s="14" t="inlineStr">
        <is>
          <t>TRUE</t>
        </is>
      </c>
      <c r="M14" s="2" t="inlineStr">
        <is>
          <t>list</t>
        </is>
      </c>
      <c r="N14" s="16">
        <f>_xlfn.IFS(ISBLANK(M14), "",M14="integer","integer",M14="number","number",M14="boolean","boolean",TRUE,"string")</f>
        <v/>
      </c>
      <c r="O14" s="16">
        <f>_xlfn.IFS(ISBLANK(M14), "",M14="date","date",M14="markdown","markdown",M14="time", "time",M14="uri","uri",M14="uuid","uuid",TRUE,"")</f>
        <v/>
      </c>
      <c r="P14" s="16">
        <f>_xlfn.IFS(ISBLANK(M14), "",M14="textarea","textarea",TRUE,"")</f>
        <v/>
      </c>
      <c r="Q14" s="20" t="inlineStr"/>
      <c r="R14" s="21" t="inlineStr">
        <is>
          <t>share,non_share</t>
        </is>
      </c>
      <c r="S14" s="3" t="inlineStr">
        <is>
          <t>share</t>
        </is>
      </c>
      <c r="T14" s="3" t="n"/>
      <c r="U14" s="3" t="inlineStr"/>
      <c r="V14" s="3" t="inlineStr"/>
      <c r="W14" s="3" t="n"/>
      <c r="X14" s="3" t="n"/>
      <c r="Y14" s="3" t="n"/>
      <c r="Z14" s="3" t="n"/>
      <c r="AA14" s="3" t="n"/>
      <c r="AB14" s="3" t="n"/>
      <c r="AC14" s="3" t="n"/>
    </row>
    <row r="15" ht="18.75" customHeight="1">
      <c r="A15" s="22" t="n"/>
      <c r="B15" s="22" t="n"/>
      <c r="C15" s="15" t="inlineStr">
        <is>
          <t>OFF</t>
        </is>
      </c>
      <c r="D15" s="16">
        <f>SUBSTITUTE(LOWER($G15)," ","_")</f>
        <v/>
      </c>
      <c r="E15" s="20" t="inlineStr"/>
      <c r="F15" s="2" t="inlineStr"/>
      <c r="G15" s="2" t="inlineStr"/>
      <c r="H15" s="3" t="n"/>
      <c r="I15" s="18" t="n"/>
      <c r="J15" s="3" t="n"/>
      <c r="K15" s="3" t="n"/>
      <c r="L15" s="14" t="inlineStr"/>
      <c r="M15" s="2" t="n"/>
      <c r="N15" s="16">
        <f>_xlfn.IFS(ISBLANK(M15), "",M15="integer","integer",M15="number","number",M15="boolean","boolean",TRUE,"string")</f>
        <v/>
      </c>
      <c r="O15" s="16">
        <f>_xlfn.IFS(ISBLANK(M15), "",M15="date","date",M15="markdown","markdown",M15="time", "time",M15="uri","uri",M15="uuid","uuid",TRUE,"")</f>
        <v/>
      </c>
      <c r="P15" s="16">
        <f>_xlfn.IFS(ISBLANK(M15), "",M15="textarea","textarea",TRUE,"")</f>
        <v/>
      </c>
      <c r="Q15" s="20" t="inlineStr"/>
      <c r="R15" s="21" t="inlineStr"/>
      <c r="S15" s="3" t="n"/>
      <c r="T15" s="3" t="n"/>
      <c r="U15" s="3" t="inlineStr"/>
      <c r="V15" s="3" t="inlineStr"/>
      <c r="W15" s="3" t="n"/>
      <c r="X15" s="3" t="n"/>
      <c r="Y15" s="3" t="n"/>
      <c r="Z15" s="3" t="n"/>
      <c r="AA15" s="3" t="n"/>
      <c r="AB15" s="3" t="n"/>
      <c r="AC15" s="3" t="n"/>
    </row>
    <row r="16" ht="18.75" customHeight="1">
      <c r="A16" s="22" t="n"/>
      <c r="B16" s="22" t="n"/>
      <c r="C16" s="15" t="inlineStr">
        <is>
          <t>OFF</t>
        </is>
      </c>
      <c r="D16" s="16">
        <f>SUBSTITUTE(LOWER($G16)," ","_")</f>
        <v/>
      </c>
      <c r="E16" s="20" t="inlineStr"/>
      <c r="F16" s="2" t="inlineStr"/>
      <c r="G16" s="2" t="inlineStr"/>
      <c r="H16" s="3" t="n"/>
      <c r="I16" s="18" t="n"/>
      <c r="J16" s="3" t="n"/>
      <c r="K16" s="3" t="n"/>
      <c r="L16" s="14" t="inlineStr"/>
      <c r="M16" s="2" t="n"/>
      <c r="N16" s="16">
        <f>_xlfn.IFS(ISBLANK(M16), "",M16="integer","integer",M16="number","number",M16="boolean","boolean",TRUE,"string")</f>
        <v/>
      </c>
      <c r="O16" s="16">
        <f>_xlfn.IFS(ISBLANK(M16), "",M16="date","date",M16="markdown","markdown",M16="time", "time",M16="uri","uri",M16="uuid","uuid",TRUE,"")</f>
        <v/>
      </c>
      <c r="P16" s="16">
        <f>_xlfn.IFS(ISBLANK(M16), "",M16="textarea","textarea",TRUE,"")</f>
        <v/>
      </c>
      <c r="Q16" s="20" t="inlineStr"/>
      <c r="R16" s="21" t="inlineStr"/>
      <c r="S16" s="3" t="n"/>
      <c r="T16" s="3" t="n"/>
      <c r="U16" s="3" t="inlineStr"/>
      <c r="V16" s="3" t="inlineStr"/>
      <c r="W16" s="3" t="n"/>
      <c r="X16" s="3" t="n"/>
      <c r="Y16" s="3" t="n"/>
      <c r="Z16" s="3" t="n"/>
      <c r="AA16" s="3" t="n"/>
      <c r="AB16" s="3" t="n"/>
      <c r="AC16" s="3" t="n"/>
    </row>
    <row r="17" ht="18.75" customHeight="1">
      <c r="A17" s="22" t="n"/>
      <c r="B17" s="22" t="n"/>
      <c r="C17" s="15" t="inlineStr">
        <is>
          <t>OFF</t>
        </is>
      </c>
      <c r="D17" s="16">
        <f>SUBSTITUTE(LOWER($G17)," ","_")</f>
        <v/>
      </c>
      <c r="E17" s="20" t="inlineStr"/>
      <c r="F17" s="2" t="inlineStr"/>
      <c r="G17" s="2" t="inlineStr"/>
      <c r="H17" s="3" t="n"/>
      <c r="I17" s="18" t="n"/>
      <c r="J17" s="3" t="n"/>
      <c r="K17" s="3" t="n"/>
      <c r="L17" s="14" t="inlineStr"/>
      <c r="M17" s="2" t="n"/>
      <c r="N17" s="16">
        <f>_xlfn.IFS(ISBLANK(M17), "",M17="integer","integer",M17="number","number",M17="boolean","boolean",TRUE,"string")</f>
        <v/>
      </c>
      <c r="O17" s="16">
        <f>_xlfn.IFS(ISBLANK(M17), "",M17="date","date",M17="markdown","markdown",M17="time", "time",M17="uri","uri",M17="uuid","uuid",TRUE,"")</f>
        <v/>
      </c>
      <c r="P17" s="16">
        <f>_xlfn.IFS(ISBLANK(M17), "",M17="textarea","textarea",TRUE,"")</f>
        <v/>
      </c>
      <c r="Q17" s="20" t="inlineStr"/>
      <c r="R17" s="21" t="inlineStr"/>
      <c r="S17" s="3" t="n"/>
      <c r="T17" s="3" t="n"/>
      <c r="U17" s="3" t="inlineStr"/>
      <c r="V17" s="3" t="inlineStr"/>
      <c r="W17" s="3" t="n"/>
      <c r="X17" s="3" t="n"/>
      <c r="Y17" s="3" t="n"/>
      <c r="Z17" s="3" t="n"/>
      <c r="AA17" s="3" t="n"/>
      <c r="AB17" s="3" t="n"/>
      <c r="AC17" s="3" t="n"/>
    </row>
    <row r="18" ht="18.75" customHeight="1">
      <c r="A18" s="22" t="n"/>
      <c r="B18" s="22" t="n"/>
      <c r="C18" s="15" t="inlineStr">
        <is>
          <t>OFF</t>
        </is>
      </c>
      <c r="D18" s="16">
        <f>SUBSTITUTE(LOWER($G18)," ","_")</f>
        <v/>
      </c>
      <c r="E18" s="20" t="inlineStr"/>
      <c r="F18" s="2" t="inlineStr"/>
      <c r="G18" s="2" t="inlineStr"/>
      <c r="H18" s="3" t="n"/>
      <c r="I18" s="18" t="n"/>
      <c r="J18" s="3" t="n"/>
      <c r="K18" s="3" t="n"/>
      <c r="L18" s="14" t="inlineStr"/>
      <c r="M18" s="2" t="n"/>
      <c r="N18" s="16">
        <f>_xlfn.IFS(ISBLANK(M18), "",M18="integer","integer",M18="number","number",M18="boolean","boolean",TRUE,"string")</f>
        <v/>
      </c>
      <c r="O18" s="16">
        <f>_xlfn.IFS(ISBLANK(M18), "",M18="date","date",M18="markdown","markdown",M18="time", "time",M18="uri","uri",M18="uuid","uuid",TRUE,"")</f>
        <v/>
      </c>
      <c r="P18" s="16">
        <f>_xlfn.IFS(ISBLANK(M18), "",M18="textarea","textarea",TRUE,"")</f>
        <v/>
      </c>
      <c r="Q18" s="20" t="inlineStr"/>
      <c r="R18" s="21" t="inlineStr"/>
      <c r="S18" s="3" t="n"/>
      <c r="T18" s="3" t="n"/>
      <c r="U18" s="3" t="inlineStr"/>
      <c r="V18" s="3" t="inlineStr"/>
      <c r="W18" s="3" t="n"/>
      <c r="X18" s="3" t="n"/>
      <c r="Y18" s="3" t="n"/>
      <c r="Z18" s="3" t="n"/>
      <c r="AA18" s="3" t="n"/>
      <c r="AB18" s="3" t="n"/>
      <c r="AC18" s="3" t="n"/>
    </row>
    <row r="19" ht="18.75" customHeight="1">
      <c r="A19" s="23" t="n"/>
      <c r="B19" s="23" t="n"/>
      <c r="C19" s="15" t="inlineStr">
        <is>
          <t>OFF</t>
        </is>
      </c>
      <c r="D19" s="16">
        <f>SUBSTITUTE(LOWER($G19)," ","_")</f>
        <v/>
      </c>
      <c r="E19" s="20" t="inlineStr"/>
      <c r="F19" s="2" t="inlineStr"/>
      <c r="G19" s="2" t="inlineStr"/>
      <c r="H19" s="3" t="n"/>
      <c r="I19" s="18" t="n"/>
      <c r="J19" s="3" t="n"/>
      <c r="K19" s="3" t="n"/>
      <c r="L19" s="14" t="inlineStr"/>
      <c r="M19" s="2" t="n"/>
      <c r="N19" s="16">
        <f>_xlfn.IFS(ISBLANK(M19), "",M19="integer","integer",M19="number","number",M19="boolean","boolean",TRUE,"string")</f>
        <v/>
      </c>
      <c r="O19" s="16">
        <f>_xlfn.IFS(ISBLANK(M19), "",M19="date","date",M19="markdown","markdown",M19="time", "time",M19="uri","uri",M19="uuid","uuid",TRUE,"")</f>
        <v/>
      </c>
      <c r="P19" s="16">
        <f>_xlfn.IFS(ISBLANK(M19), "",M19="textarea","textarea",TRUE,"")</f>
        <v/>
      </c>
      <c r="Q19" s="20" t="inlineStr"/>
      <c r="R19" s="21" t="inlineStr"/>
      <c r="S19" s="3" t="n"/>
      <c r="T19" s="3" t="n"/>
      <c r="U19" s="3" t="inlineStr"/>
      <c r="V19" s="3" t="inlineStr"/>
      <c r="W19" s="3" t="n"/>
      <c r="X19" s="3" t="n"/>
      <c r="Y19" s="3" t="n"/>
      <c r="Z19" s="3" t="n"/>
      <c r="AA19" s="3" t="n"/>
      <c r="AB19" s="3" t="n"/>
      <c r="AC19" s="3" t="n"/>
    </row>
    <row r="20" ht="18.75" customHeight="1">
      <c r="A20" s="19" t="inlineStr">
        <is>
          <t>sample_common</t>
        </is>
      </c>
      <c r="B20" s="19" t="inlineStr">
        <is>
          <t>試料情報(共通項目)</t>
        </is>
      </c>
      <c r="C20" s="15" t="inlineStr">
        <is>
          <t>OFF</t>
        </is>
      </c>
      <c r="D20" s="2" t="n"/>
      <c r="E20" s="20" t="n"/>
      <c r="F20" s="2" t="n"/>
      <c r="G20" s="2" t="n"/>
      <c r="H20" s="3" t="n"/>
      <c r="I20" s="3" t="n"/>
      <c r="J20" s="20" t="n"/>
      <c r="K20" s="3" t="n"/>
      <c r="L20" s="20" t="n"/>
      <c r="M20" s="20" t="n"/>
      <c r="N20" s="20" t="n"/>
      <c r="O20" s="20" t="n"/>
      <c r="P20" s="20" t="n"/>
      <c r="Q20" s="20" t="n"/>
      <c r="R20" s="20" t="n"/>
      <c r="S20" s="20" t="n"/>
      <c r="T20" s="20" t="n"/>
      <c r="U20" s="20" t="n"/>
      <c r="V20" s="20" t="n"/>
      <c r="W20" s="20" t="n"/>
      <c r="X20" s="20" t="n"/>
      <c r="Y20" s="20" t="n"/>
      <c r="Z20" s="20" t="n"/>
      <c r="AA20" s="20" t="n"/>
      <c r="AB20" s="20" t="n"/>
      <c r="AC20" s="20" t="n"/>
    </row>
    <row r="21" ht="18.75" customHeight="1">
      <c r="A21" s="22" t="n"/>
      <c r="B21" s="22" t="n"/>
      <c r="C21" s="15" t="inlineStr">
        <is>
          <t>OFF</t>
        </is>
      </c>
      <c r="D21" s="2" t="n"/>
      <c r="E21" s="20" t="n"/>
      <c r="F21" s="2" t="n"/>
      <c r="G21" s="2" t="n"/>
      <c r="H21" s="3" t="n"/>
      <c r="I21" s="3" t="n"/>
      <c r="J21" s="20" t="n"/>
      <c r="K21" s="3" t="n"/>
      <c r="L21" s="20" t="n"/>
      <c r="M21" s="20" t="n"/>
      <c r="N21" s="20" t="n"/>
      <c r="O21" s="20" t="n"/>
      <c r="P21" s="20" t="n"/>
      <c r="Q21" s="20" t="n"/>
      <c r="R21" s="20" t="n"/>
      <c r="S21" s="20" t="n"/>
      <c r="T21" s="20" t="n"/>
      <c r="U21" s="20" t="n"/>
      <c r="V21" s="20" t="n"/>
      <c r="W21" s="20" t="n"/>
      <c r="X21" s="20" t="n"/>
      <c r="Y21" s="20" t="n"/>
      <c r="Z21" s="20" t="n"/>
      <c r="AA21" s="20" t="n"/>
      <c r="AB21" s="20" t="n"/>
      <c r="AC21" s="20" t="n"/>
    </row>
    <row r="22" ht="18.75" customHeight="1">
      <c r="A22" s="22" t="n"/>
      <c r="B22" s="22" t="n"/>
      <c r="C22" s="15" t="inlineStr">
        <is>
          <t>OFF</t>
        </is>
      </c>
      <c r="D22" s="2" t="n"/>
      <c r="E22" s="20" t="n"/>
      <c r="F22" s="2" t="n"/>
      <c r="G22" s="2" t="n"/>
      <c r="H22" s="3" t="n"/>
      <c r="I22" s="3" t="n"/>
      <c r="J22" s="20" t="n"/>
      <c r="K22" s="3" t="n"/>
      <c r="L22" s="20" t="n"/>
      <c r="M22" s="20" t="n"/>
      <c r="N22" s="20" t="n"/>
      <c r="O22" s="20" t="n"/>
      <c r="P22" s="20" t="n"/>
      <c r="Q22" s="20" t="n"/>
      <c r="R22" s="20" t="n"/>
      <c r="S22" s="20" t="n"/>
      <c r="T22" s="20" t="n"/>
      <c r="U22" s="20" t="n"/>
      <c r="V22" s="20" t="n"/>
      <c r="W22" s="20" t="n"/>
      <c r="X22" s="20" t="n"/>
      <c r="Y22" s="20" t="n"/>
      <c r="Z22" s="20" t="n"/>
      <c r="AA22" s="20" t="n"/>
      <c r="AB22" s="20" t="n"/>
      <c r="AC22" s="20" t="n"/>
    </row>
    <row r="23" ht="18.75" customHeight="1">
      <c r="A23" s="22" t="n"/>
      <c r="B23" s="22" t="n"/>
      <c r="C23" s="15" t="inlineStr">
        <is>
          <t>OFF</t>
        </is>
      </c>
      <c r="D23" s="2" t="n"/>
      <c r="E23" s="20" t="n"/>
      <c r="F23" s="2" t="n"/>
      <c r="G23" s="2" t="n"/>
      <c r="H23" s="3" t="n"/>
      <c r="I23" s="3" t="n"/>
      <c r="J23" s="20" t="n"/>
      <c r="K23" s="3" t="n"/>
      <c r="L23" s="20" t="n"/>
      <c r="M23" s="20" t="n"/>
      <c r="N23" s="20" t="n"/>
      <c r="O23" s="20" t="n"/>
      <c r="P23" s="20" t="n"/>
      <c r="Q23" s="20" t="n"/>
      <c r="R23" s="20" t="n"/>
      <c r="S23" s="20" t="n"/>
      <c r="T23" s="20" t="n"/>
      <c r="U23" s="20" t="n"/>
      <c r="V23" s="20" t="n"/>
      <c r="W23" s="20" t="n"/>
      <c r="X23" s="20" t="n"/>
      <c r="Y23" s="20" t="n"/>
      <c r="Z23" s="20" t="n"/>
      <c r="AA23" s="20" t="n"/>
      <c r="AB23" s="20" t="n"/>
      <c r="AC23" s="20" t="n"/>
    </row>
    <row r="24" ht="18.75" customHeight="1">
      <c r="A24" s="23" t="n"/>
      <c r="B24" s="23" t="n"/>
      <c r="C24" s="15" t="inlineStr">
        <is>
          <t>OFF</t>
        </is>
      </c>
      <c r="D24" s="2" t="n"/>
      <c r="E24" s="20" t="n"/>
      <c r="F24" s="2" t="n"/>
      <c r="G24" s="2" t="n"/>
      <c r="H24" s="3" t="n"/>
      <c r="I24" s="3" t="n"/>
      <c r="J24" s="20" t="n"/>
      <c r="K24" s="3" t="n"/>
      <c r="L24" s="20" t="n"/>
      <c r="M24" s="20" t="n"/>
      <c r="N24" s="20" t="n"/>
      <c r="O24" s="20" t="n"/>
      <c r="P24" s="20" t="n"/>
      <c r="Q24" s="20" t="n"/>
      <c r="R24" s="20" t="n"/>
      <c r="S24" s="20" t="n"/>
      <c r="T24" s="20" t="n"/>
      <c r="U24" s="20" t="n"/>
      <c r="V24" s="20" t="n"/>
      <c r="W24" s="20" t="n"/>
      <c r="X24" s="20" t="n"/>
      <c r="Y24" s="20" t="n"/>
      <c r="Z24" s="20" t="n"/>
      <c r="AA24" s="20" t="n"/>
      <c r="AB24" s="20" t="n"/>
      <c r="AC24" s="20" t="n"/>
    </row>
    <row r="25" ht="18.75" customHeight="1">
      <c r="A25" s="19" t="inlineStr">
        <is>
          <t>sample_general</t>
        </is>
      </c>
      <c r="B25" s="19" t="inlineStr">
        <is>
          <t>試料情報(一般項目)</t>
        </is>
      </c>
      <c r="C25" s="15" t="inlineStr">
        <is>
          <t>ON</t>
        </is>
      </c>
      <c r="D25" s="16">
        <f>IFERROR(INDEX(sample.general_sample_term!$A:$H,MATCH($E25,sample.general_sample_term!$C:$C,FALSE),2),"")</f>
        <v/>
      </c>
      <c r="E25" s="2" t="inlineStr">
        <is>
          <t>一般名称</t>
        </is>
      </c>
      <c r="F25" s="16">
        <f>IFERROR(INDEX(sample.general_sample_term!$A:$H,MATCH($E25,sample.general_sample_term!$C:$C,FALSE),3),"")</f>
        <v/>
      </c>
      <c r="G25" s="16">
        <f>IFERROR(INDEX(sample.general_sample_term!$A:$H,MATCH($E25,sample.general_sample_term!$C:$C,FALSE),4),"")</f>
        <v/>
      </c>
      <c r="H25" s="3" t="n"/>
      <c r="I25" s="3" t="n"/>
      <c r="J25" s="20" t="n"/>
      <c r="K25" s="3" t="n"/>
      <c r="L25" s="20" t="n"/>
      <c r="M25" s="20" t="n"/>
      <c r="N25" s="20" t="n"/>
      <c r="O25" s="20" t="n"/>
      <c r="P25" s="20" t="n"/>
      <c r="Q25" s="20" t="n"/>
      <c r="R25" s="20" t="n"/>
      <c r="S25" s="20" t="n"/>
      <c r="T25" s="20" t="n"/>
      <c r="U25" s="16">
        <f>IFERROR(INDEX(sample.general_sample_term!$A:$H,MATCH($E25,sample.general_sample_term!$C:$C,FALSE),5),"")</f>
        <v/>
      </c>
      <c r="V25" s="16">
        <f>IFERROR(INDEX(sample.general_sample_term!$A:$H,MATCH($E25,sample.general_sample_term!$C:$C,FALSE),6),"")</f>
        <v/>
      </c>
      <c r="W25" s="20" t="n"/>
      <c r="X25" s="20" t="n"/>
      <c r="Y25" s="20" t="n"/>
      <c r="Z25" s="20" t="n"/>
      <c r="AA25" s="20" t="n"/>
      <c r="AB25" s="20" t="n"/>
      <c r="AC25" s="20" t="n"/>
    </row>
    <row r="26" ht="18.75" customHeight="1">
      <c r="A26" s="22" t="n"/>
      <c r="B26" s="22" t="n"/>
      <c r="C26" s="15" t="inlineStr">
        <is>
          <t>ON</t>
        </is>
      </c>
      <c r="D26" s="16">
        <f>IFERROR(INDEX(sample.general_sample_term!$A:$H,MATCH($E26,sample.general_sample_term!$C:$C,FALSE),2),"")</f>
        <v/>
      </c>
      <c r="E26" s="2" t="inlineStr">
        <is>
          <t>化学組成</t>
        </is>
      </c>
      <c r="F26" s="16">
        <f>IFERROR(INDEX(sample.general_sample_term!$A:$H,MATCH($E26,sample.general_sample_term!$C:$C,FALSE),3),"")</f>
        <v/>
      </c>
      <c r="G26" s="16">
        <f>IFERROR(INDEX(sample.general_sample_term!$A:$H,MATCH($E26,sample.general_sample_term!$C:$C,FALSE),4),"")</f>
        <v/>
      </c>
      <c r="H26" s="3" t="n"/>
      <c r="I26" s="3" t="n"/>
      <c r="J26" s="20" t="n"/>
      <c r="K26" s="3" t="n"/>
      <c r="L26" s="20" t="n"/>
      <c r="M26" s="20" t="n"/>
      <c r="N26" s="20" t="n"/>
      <c r="O26" s="20" t="n"/>
      <c r="P26" s="20" t="n"/>
      <c r="Q26" s="20" t="n"/>
      <c r="R26" s="20" t="n"/>
      <c r="S26" s="20" t="n"/>
      <c r="T26" s="20" t="n"/>
      <c r="U26" s="16">
        <f>IFERROR(INDEX(sample.general_sample_term!$A:$H,MATCH($E26,sample.general_sample_term!$C:$C,FALSE),5),"")</f>
        <v/>
      </c>
      <c r="V26" s="16">
        <f>IFERROR(INDEX(sample.general_sample_term!$A:$H,MATCH($E26,sample.general_sample_term!$C:$C,FALSE),6),"")</f>
        <v/>
      </c>
      <c r="W26" s="20" t="n"/>
      <c r="X26" s="20" t="n"/>
      <c r="Y26" s="20" t="n"/>
      <c r="Z26" s="20" t="n"/>
      <c r="AA26" s="20" t="n"/>
      <c r="AB26" s="20" t="n"/>
      <c r="AC26" s="20" t="n"/>
    </row>
    <row r="27" ht="18.75" customHeight="1">
      <c r="A27" s="22" t="n"/>
      <c r="B27" s="22" t="n"/>
      <c r="C27" s="15" t="inlineStr">
        <is>
          <t>ON</t>
        </is>
      </c>
      <c r="D27" s="16">
        <f>IFERROR(INDEX(sample.general_sample_term!$A:$H,MATCH($E27,sample.general_sample_term!$C:$C,FALSE),2),"")</f>
        <v/>
      </c>
      <c r="E27" s="2" t="inlineStr">
        <is>
          <t>試料分類</t>
        </is>
      </c>
      <c r="F27" s="16">
        <f>IFERROR(INDEX(sample.general_sample_term!$A:$H,MATCH($E27,sample.general_sample_term!$C:$C,FALSE),3),"")</f>
        <v/>
      </c>
      <c r="G27" s="16">
        <f>IFERROR(INDEX(sample.general_sample_term!$A:$H,MATCH($E27,sample.general_sample_term!$C:$C,FALSE),4),"")</f>
        <v/>
      </c>
      <c r="H27" s="3" t="n"/>
      <c r="I27" s="3" t="n"/>
      <c r="J27" s="20" t="n"/>
      <c r="K27" s="3" t="n"/>
      <c r="L27" s="20" t="n"/>
      <c r="M27" s="20" t="n"/>
      <c r="N27" s="20" t="n"/>
      <c r="O27" s="20" t="n"/>
      <c r="P27" s="20" t="n"/>
      <c r="Q27" s="20" t="n"/>
      <c r="R27" s="20" t="n"/>
      <c r="S27" s="20" t="n"/>
      <c r="T27" s="20" t="n"/>
      <c r="U27" s="16">
        <f>IFERROR(INDEX(sample.general_sample_term!$A:$H,MATCH($E27,sample.general_sample_term!$C:$C,FALSE),5),"")</f>
        <v/>
      </c>
      <c r="V27" s="16">
        <f>IFERROR(INDEX(sample.general_sample_term!$A:$H,MATCH($E27,sample.general_sample_term!$C:$C,FALSE),6),"")</f>
        <v/>
      </c>
      <c r="W27" s="20" t="n"/>
      <c r="X27" s="20" t="n"/>
      <c r="Y27" s="20" t="n"/>
      <c r="Z27" s="20" t="n"/>
      <c r="AA27" s="20" t="n"/>
      <c r="AB27" s="20" t="n"/>
      <c r="AC27" s="20" t="n"/>
    </row>
    <row r="28" ht="18.75" customHeight="1">
      <c r="A28" s="22" t="n"/>
      <c r="B28" s="22" t="n"/>
      <c r="C28" s="15" t="inlineStr">
        <is>
          <t>ON</t>
        </is>
      </c>
      <c r="D28" s="16">
        <f>IFERROR(INDEX(sample.general_sample_term!$A:$H,MATCH($E28,sample.general_sample_term!$C:$C,FALSE),2),"")</f>
        <v/>
      </c>
      <c r="E28" s="2" t="inlineStr">
        <is>
          <t>CAS番号</t>
        </is>
      </c>
      <c r="F28" s="16">
        <f>IFERROR(INDEX(sample.general_sample_term!$A:$H,MATCH($E28,sample.general_sample_term!$C:$C,FALSE),3),"")</f>
        <v/>
      </c>
      <c r="G28" s="16">
        <f>IFERROR(INDEX(sample.general_sample_term!$A:$H,MATCH($E28,sample.general_sample_term!$C:$C,FALSE),4),"")</f>
        <v/>
      </c>
      <c r="H28" s="3" t="n"/>
      <c r="I28" s="3" t="n"/>
      <c r="J28" s="20" t="n"/>
      <c r="K28" s="3" t="n"/>
      <c r="L28" s="20" t="n"/>
      <c r="M28" s="20" t="n"/>
      <c r="N28" s="20" t="n"/>
      <c r="O28" s="20" t="n"/>
      <c r="P28" s="20" t="n"/>
      <c r="Q28" s="20" t="n"/>
      <c r="R28" s="20" t="n"/>
      <c r="S28" s="20" t="n"/>
      <c r="T28" s="20" t="n"/>
      <c r="U28" s="16">
        <f>IFERROR(INDEX(sample.general_sample_term!$A:$H,MATCH($E28,sample.general_sample_term!$C:$C,FALSE),5),"")</f>
        <v/>
      </c>
      <c r="V28" s="16">
        <f>IFERROR(INDEX(sample.general_sample_term!$A:$H,MATCH($E28,sample.general_sample_term!$C:$C,FALSE),6),"")</f>
        <v/>
      </c>
      <c r="W28" s="20" t="n"/>
      <c r="X28" s="20" t="n"/>
      <c r="Y28" s="20" t="n"/>
      <c r="Z28" s="20" t="n"/>
      <c r="AA28" s="20" t="n"/>
      <c r="AB28" s="20" t="n"/>
      <c r="AC28" s="20" t="n"/>
    </row>
    <row r="29" ht="18.75" customHeight="1">
      <c r="A29" s="22" t="n"/>
      <c r="B29" s="22" t="n"/>
      <c r="C29" s="15" t="inlineStr">
        <is>
          <t>OFF</t>
        </is>
      </c>
      <c r="D29" s="16">
        <f>IFERROR(INDEX(sample.general_sample_term!$A:$H,MATCH($E29,sample.general_sample_term!$C:$C,FALSE),2),"")</f>
        <v/>
      </c>
      <c r="E29" s="2" t="n"/>
      <c r="F29" s="16">
        <f>IFERROR(INDEX(sample.general_sample_term!$A:$H,MATCH($E29,sample.general_sample_term!$C:$C,FALSE),3),"")</f>
        <v/>
      </c>
      <c r="G29" s="16">
        <f>IFERROR(INDEX(sample.general_sample_term!$A:$H,MATCH($E29,sample.general_sample_term!$C:$C,FALSE),4),"")</f>
        <v/>
      </c>
      <c r="H29" s="3" t="n"/>
      <c r="I29" s="3" t="n"/>
      <c r="J29" s="20" t="n"/>
      <c r="K29" s="3" t="n"/>
      <c r="L29" s="20" t="n"/>
      <c r="M29" s="20" t="n"/>
      <c r="N29" s="20" t="n"/>
      <c r="O29" s="20" t="n"/>
      <c r="P29" s="20" t="n"/>
      <c r="Q29" s="20" t="n"/>
      <c r="R29" s="20" t="n"/>
      <c r="S29" s="20" t="n"/>
      <c r="T29" s="20" t="n"/>
      <c r="U29" s="16">
        <f>IFERROR(INDEX(sample.general_sample_term!$A:$H,MATCH($E29,sample.general_sample_term!$C:$C,FALSE),5),"")</f>
        <v/>
      </c>
      <c r="V29" s="16">
        <f>IFERROR(INDEX(sample.general_sample_term!$A:$H,MATCH($E29,sample.general_sample_term!$C:$C,FALSE),6),"")</f>
        <v/>
      </c>
      <c r="W29" s="20" t="n"/>
      <c r="X29" s="20" t="n"/>
      <c r="Y29" s="20" t="n"/>
      <c r="Z29" s="20" t="n"/>
      <c r="AA29" s="20" t="n"/>
      <c r="AB29" s="20" t="n"/>
      <c r="AC29" s="20" t="n"/>
    </row>
    <row r="30" ht="18.75" customHeight="1">
      <c r="A30" s="22" t="n"/>
      <c r="B30" s="22" t="n"/>
      <c r="C30" s="15" t="inlineStr">
        <is>
          <t>OFF</t>
        </is>
      </c>
      <c r="D30" s="16">
        <f>IFERROR(INDEX(sample.general_sample_term!$A:$H,MATCH($E30,sample.general_sample_term!$C:$C,FALSE),2),"")</f>
        <v/>
      </c>
      <c r="E30" s="2" t="n"/>
      <c r="F30" s="16">
        <f>IFERROR(INDEX(sample.general_sample_term!$A:$H,MATCH($E30,sample.general_sample_term!$C:$C,FALSE),3),"")</f>
        <v/>
      </c>
      <c r="G30" s="16">
        <f>IFERROR(INDEX(sample.general_sample_term!$A:$H,MATCH($E30,sample.general_sample_term!$C:$C,FALSE),4),"")</f>
        <v/>
      </c>
      <c r="H30" s="3" t="n"/>
      <c r="I30" s="3" t="n"/>
      <c r="J30" s="20" t="n"/>
      <c r="K30" s="3" t="n"/>
      <c r="L30" s="20" t="n"/>
      <c r="M30" s="20" t="n"/>
      <c r="N30" s="20" t="n"/>
      <c r="O30" s="20" t="n"/>
      <c r="P30" s="20" t="n"/>
      <c r="Q30" s="20" t="n"/>
      <c r="R30" s="20" t="n"/>
      <c r="S30" s="20" t="n"/>
      <c r="T30" s="20" t="n"/>
      <c r="U30" s="16">
        <f>IFERROR(INDEX(sample.general_sample_term!$A:$H,MATCH($E30,sample.general_sample_term!$C:$C,FALSE),5),"")</f>
        <v/>
      </c>
      <c r="V30" s="16">
        <f>IFERROR(INDEX(sample.general_sample_term!$A:$H,MATCH($E30,sample.general_sample_term!$C:$C,FALSE),6),"")</f>
        <v/>
      </c>
      <c r="W30" s="20" t="n"/>
      <c r="X30" s="20" t="n"/>
      <c r="Y30" s="20" t="n"/>
      <c r="Z30" s="20" t="n"/>
      <c r="AA30" s="20" t="n"/>
      <c r="AB30" s="20" t="n"/>
      <c r="AC30" s="20" t="n"/>
    </row>
    <row r="31" ht="18.75" customHeight="1">
      <c r="A31" s="22" t="n"/>
      <c r="B31" s="22" t="n"/>
      <c r="C31" s="15" t="inlineStr">
        <is>
          <t>OFF</t>
        </is>
      </c>
      <c r="D31" s="16">
        <f>IFERROR(INDEX(sample.general_sample_term!$A:$H,MATCH($E31,sample.general_sample_term!$C:$C,FALSE),2),"")</f>
        <v/>
      </c>
      <c r="E31" s="2" t="n"/>
      <c r="F31" s="16">
        <f>IFERROR(INDEX(sample.general_sample_term!$A:$H,MATCH($E31,sample.general_sample_term!$C:$C,FALSE),3),"")</f>
        <v/>
      </c>
      <c r="G31" s="16">
        <f>IFERROR(INDEX(sample.general_sample_term!$A:$H,MATCH($E31,sample.general_sample_term!$C:$C,FALSE),4),"")</f>
        <v/>
      </c>
      <c r="H31" s="3" t="n"/>
      <c r="I31" s="3" t="n"/>
      <c r="J31" s="20" t="n"/>
      <c r="K31" s="3" t="n"/>
      <c r="L31" s="20" t="n"/>
      <c r="M31" s="20" t="n"/>
      <c r="N31" s="20" t="n"/>
      <c r="O31" s="20" t="n"/>
      <c r="P31" s="20" t="n"/>
      <c r="Q31" s="20" t="n"/>
      <c r="R31" s="20" t="n"/>
      <c r="S31" s="20" t="n"/>
      <c r="T31" s="20" t="n"/>
      <c r="U31" s="16">
        <f>IFERROR(INDEX(sample.general_sample_term!$A:$H,MATCH($E31,sample.general_sample_term!$C:$C,FALSE),5),"")</f>
        <v/>
      </c>
      <c r="V31" s="16">
        <f>IFERROR(INDEX(sample.general_sample_term!$A:$H,MATCH($E31,sample.general_sample_term!$C:$C,FALSE),6),"")</f>
        <v/>
      </c>
      <c r="W31" s="20" t="n"/>
      <c r="X31" s="20" t="n"/>
      <c r="Y31" s="20" t="n"/>
      <c r="Z31" s="20" t="n"/>
      <c r="AA31" s="20" t="n"/>
      <c r="AB31" s="20" t="n"/>
      <c r="AC31" s="20" t="n"/>
    </row>
    <row r="32" ht="18.75" customHeight="1">
      <c r="A32" s="22" t="n"/>
      <c r="B32" s="22" t="n"/>
      <c r="C32" s="15" t="inlineStr">
        <is>
          <t>OFF</t>
        </is>
      </c>
      <c r="D32" s="16">
        <f>IFERROR(INDEX(sample.general_sample_term!$A:$H,MATCH($E32,sample.general_sample_term!$C:$C,FALSE),2),"")</f>
        <v/>
      </c>
      <c r="E32" s="2" t="n"/>
      <c r="F32" s="16">
        <f>IFERROR(INDEX(sample.general_sample_term!$A:$H,MATCH($E32,sample.general_sample_term!$C:$C,FALSE),3),"")</f>
        <v/>
      </c>
      <c r="G32" s="16">
        <f>IFERROR(INDEX(sample.general_sample_term!$A:$H,MATCH($E32,sample.general_sample_term!$C:$C,FALSE),4),"")</f>
        <v/>
      </c>
      <c r="H32" s="3" t="n"/>
      <c r="I32" s="3" t="n"/>
      <c r="J32" s="20" t="n"/>
      <c r="K32" s="3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16">
        <f>IFERROR(INDEX(sample.general_sample_term!$A:$H,MATCH($E32,sample.general_sample_term!$C:$C,FALSE),5),"")</f>
        <v/>
      </c>
      <c r="V32" s="16">
        <f>IFERROR(INDEX(sample.general_sample_term!$A:$H,MATCH($E32,sample.general_sample_term!$C:$C,FALSE),6),"")</f>
        <v/>
      </c>
      <c r="W32" s="20" t="n"/>
      <c r="X32" s="20" t="n"/>
      <c r="Y32" s="20" t="n"/>
      <c r="Z32" s="20" t="n"/>
      <c r="AA32" s="20" t="n"/>
      <c r="AB32" s="20" t="n"/>
      <c r="AC32" s="20" t="n"/>
    </row>
    <row r="33" ht="18.75" customHeight="1">
      <c r="A33" s="23" t="n"/>
      <c r="B33" s="23" t="n"/>
      <c r="C33" s="15" t="inlineStr">
        <is>
          <t>OFF</t>
        </is>
      </c>
      <c r="D33" s="16">
        <f>IFERROR(INDEX(sample.general_sample_term!$A:$H,MATCH($E33,sample.general_sample_term!$C:$C,FALSE),2),"")</f>
        <v/>
      </c>
      <c r="E33" s="2" t="n"/>
      <c r="F33" s="16">
        <f>IFERROR(INDEX(sample.general_sample_term!$A:$H,MATCH($E33,sample.general_sample_term!$C:$C,FALSE),3),"")</f>
        <v/>
      </c>
      <c r="G33" s="16">
        <f>IFERROR(INDEX(sample.general_sample_term!$A:$H,MATCH($E33,sample.general_sample_term!$C:$C,FALSE),4),"")</f>
        <v/>
      </c>
      <c r="H33" s="3" t="n"/>
      <c r="I33" s="3" t="n"/>
      <c r="J33" s="20" t="n"/>
      <c r="K33" s="3" t="n"/>
      <c r="L33" s="20" t="n"/>
      <c r="M33" s="20" t="n"/>
      <c r="N33" s="20" t="n"/>
      <c r="O33" s="20" t="n"/>
      <c r="P33" s="20" t="n"/>
      <c r="Q33" s="20" t="n"/>
      <c r="R33" s="20" t="n"/>
      <c r="S33" s="20" t="n"/>
      <c r="T33" s="20" t="n"/>
      <c r="U33" s="16">
        <f>IFERROR(INDEX(sample.general_sample_term!$A:$H,MATCH($E33,sample.general_sample_term!$C:$C,FALSE),5),"")</f>
        <v/>
      </c>
      <c r="V33" s="16">
        <f>IFERROR(INDEX(sample.general_sample_term!$A:$H,MATCH($E33,sample.general_sample_term!$C:$C,FALSE),6),"")</f>
        <v/>
      </c>
      <c r="W33" s="20" t="n"/>
      <c r="X33" s="20" t="n"/>
      <c r="Y33" s="20" t="n"/>
      <c r="Z33" s="20" t="n"/>
      <c r="AA33" s="20" t="n"/>
      <c r="AB33" s="20" t="n"/>
      <c r="AC33" s="20" t="n"/>
    </row>
    <row r="34" ht="18.75" customHeight="1">
      <c r="A34" s="19" t="inlineStr">
        <is>
          <t>sample_specific</t>
        </is>
      </c>
      <c r="B34" s="19" t="inlineStr">
        <is>
          <t>試料情報(分類別項目)</t>
        </is>
      </c>
      <c r="C34" s="15" t="inlineStr">
        <is>
          <t>ON</t>
        </is>
      </c>
      <c r="D34" s="16">
        <f>IFERROR(INDEX(sample.specific_sample_term!$A:$M,MATCH($E34,sample.specific_sample_term!$L:$L,FALSE),3),"")</f>
        <v/>
      </c>
      <c r="E34" s="2" t="inlineStr">
        <is>
          <t>半導体/名称</t>
        </is>
      </c>
      <c r="F34" s="16">
        <f>IFERROR(INDEX(sample.specific_sample_term!$A:$M,MATCH($E34,sample.specific_sample_term!$L:$L,FALSE),12),"")</f>
        <v/>
      </c>
      <c r="G34" s="16">
        <f>IFERROR(INDEX(sample.specific_sample_term!$A:$M,MATCH($E34,sample.specific_sample_term!$L:$L,FALSE),13),"")</f>
        <v/>
      </c>
      <c r="H34" s="3" t="n"/>
      <c r="I34" s="3" t="n"/>
      <c r="J34" s="20" t="n"/>
      <c r="K34" s="3" t="n"/>
      <c r="L34" s="20" t="n"/>
      <c r="M34" s="20" t="n"/>
      <c r="N34" s="20" t="n"/>
      <c r="O34" s="20" t="n"/>
      <c r="P34" s="20" t="n"/>
      <c r="Q34" s="20" t="n"/>
      <c r="R34" s="20" t="n"/>
      <c r="S34" s="20" t="n"/>
      <c r="T34" s="20" t="n"/>
      <c r="U34" s="16">
        <f>IFERROR(INDEX(sample.specific_sample_term!$A:$M,MATCH($E34,sample.specific_sample_term!$L:$L,FALSE),8),"")</f>
        <v/>
      </c>
      <c r="V34" s="16">
        <f>IFERROR(INDEX(sample.specific_sample_term!$A:$M,MATCH($E34,sample.specific_sample_term!$L:$L,FALSE),9),"")</f>
        <v/>
      </c>
      <c r="W34" s="20" t="n"/>
      <c r="X34" s="20" t="n"/>
      <c r="Y34" s="20" t="n"/>
      <c r="Z34" s="20" t="n"/>
      <c r="AA34" s="20" t="n"/>
      <c r="AB34" s="20" t="n"/>
      <c r="AC34" s="20" t="n"/>
    </row>
    <row r="35" ht="18.75" customHeight="1">
      <c r="A35" s="22" t="n"/>
      <c r="B35" s="22" t="n"/>
      <c r="C35" s="15" t="inlineStr">
        <is>
          <t>ON</t>
        </is>
      </c>
      <c r="D35" s="16">
        <f>IFERROR(INDEX(sample.specific_sample_term!$A:$M,MATCH($E35,sample.specific_sample_term!$L:$L,FALSE),3),"")</f>
        <v/>
      </c>
      <c r="E35" s="2" t="inlineStr">
        <is>
          <t>セラミックス/名称</t>
        </is>
      </c>
      <c r="F35" s="16">
        <f>IFERROR(INDEX(sample.specific_sample_term!$A:$M,MATCH($E35,sample.specific_sample_term!$L:$L,FALSE),12),"")</f>
        <v/>
      </c>
      <c r="G35" s="16">
        <f>IFERROR(INDEX(sample.specific_sample_term!$A:$M,MATCH($E35,sample.specific_sample_term!$L:$L,FALSE),13),"")</f>
        <v/>
      </c>
      <c r="H35" s="3" t="n"/>
      <c r="I35" s="3" t="n"/>
      <c r="J35" s="20" t="n"/>
      <c r="K35" s="3" t="n"/>
      <c r="L35" s="20" t="n"/>
      <c r="M35" s="20" t="n"/>
      <c r="N35" s="20" t="n"/>
      <c r="O35" s="20" t="n"/>
      <c r="P35" s="20" t="n"/>
      <c r="Q35" s="20" t="n"/>
      <c r="R35" s="20" t="n"/>
      <c r="S35" s="20" t="n"/>
      <c r="T35" s="20" t="n"/>
      <c r="U35" s="16">
        <f>IFERROR(INDEX(sample.specific_sample_term!$A:$M,MATCH($E35,sample.specific_sample_term!$L:$L,FALSE),8),"")</f>
        <v/>
      </c>
      <c r="V35" s="16">
        <f>IFERROR(INDEX(sample.specific_sample_term!$A:$M,MATCH($E35,sample.specific_sample_term!$L:$L,FALSE),9),"")</f>
        <v/>
      </c>
      <c r="W35" s="20" t="n"/>
      <c r="X35" s="20" t="n"/>
      <c r="Y35" s="20" t="n"/>
      <c r="Z35" s="20" t="n"/>
      <c r="AA35" s="20" t="n"/>
      <c r="AB35" s="20" t="n"/>
      <c r="AC35" s="20" t="n"/>
    </row>
    <row r="36" ht="18.75" customHeight="1">
      <c r="A36" s="22" t="n"/>
      <c r="B36" s="22" t="n"/>
      <c r="C36" s="15" t="inlineStr">
        <is>
          <t>ON</t>
        </is>
      </c>
      <c r="D36" s="16">
        <f>IFERROR(INDEX(sample.specific_sample_term!$A:$M,MATCH($E36,sample.specific_sample_term!$L:$L,FALSE),3),"")</f>
        <v/>
      </c>
      <c r="E36" s="2" t="inlineStr">
        <is>
          <t>有機材料/分子量</t>
        </is>
      </c>
      <c r="F36" s="16">
        <f>IFERROR(INDEX(sample.specific_sample_term!$A:$M,MATCH($E36,sample.specific_sample_term!$L:$L,FALSE),12),"")</f>
        <v/>
      </c>
      <c r="G36" s="16">
        <f>IFERROR(INDEX(sample.specific_sample_term!$A:$M,MATCH($E36,sample.specific_sample_term!$L:$L,FALSE),13),"")</f>
        <v/>
      </c>
      <c r="H36" s="3" t="n"/>
      <c r="I36" s="3" t="n"/>
      <c r="J36" s="20" t="n"/>
      <c r="K36" s="3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16">
        <f>IFERROR(INDEX(sample.specific_sample_term!$A:$M,MATCH($E36,sample.specific_sample_term!$L:$L,FALSE),8),"")</f>
        <v/>
      </c>
      <c r="V36" s="16">
        <f>IFERROR(INDEX(sample.specific_sample_term!$A:$M,MATCH($E36,sample.specific_sample_term!$L:$L,FALSE),9),"")</f>
        <v/>
      </c>
      <c r="W36" s="20" t="n"/>
      <c r="X36" s="20" t="n"/>
      <c r="Y36" s="20" t="n"/>
      <c r="Z36" s="20" t="n"/>
      <c r="AA36" s="20" t="n"/>
      <c r="AB36" s="20" t="n"/>
      <c r="AC36" s="20" t="n"/>
    </row>
    <row r="37" ht="18.75" customHeight="1">
      <c r="A37" s="22" t="n"/>
      <c r="B37" s="22" t="n"/>
      <c r="C37" s="15" t="inlineStr">
        <is>
          <t>OFF</t>
        </is>
      </c>
      <c r="D37" s="16">
        <f>IFERROR(INDEX(sample.specific_sample_term!$A:$M,MATCH($E37,sample.specific_sample_term!$L:$L,FALSE),3),"")</f>
        <v/>
      </c>
      <c r="E37" s="2" t="n"/>
      <c r="F37" s="16">
        <f>IFERROR(INDEX(sample.specific_sample_term!$A:$M,MATCH($E37,sample.specific_sample_term!$L:$L,FALSE),12),"")</f>
        <v/>
      </c>
      <c r="G37" s="16">
        <f>IFERROR(INDEX(sample.specific_sample_term!$A:$M,MATCH($E37,sample.specific_sample_term!$L:$L,FALSE),13),"")</f>
        <v/>
      </c>
      <c r="H37" s="3" t="n"/>
      <c r="I37" s="3" t="n"/>
      <c r="J37" s="20" t="n"/>
      <c r="K37" s="3" t="n"/>
      <c r="L37" s="20" t="n"/>
      <c r="M37" s="20" t="n"/>
      <c r="N37" s="20" t="n"/>
      <c r="O37" s="20" t="n"/>
      <c r="P37" s="20" t="n"/>
      <c r="Q37" s="20" t="n"/>
      <c r="R37" s="20" t="n"/>
      <c r="S37" s="20" t="n"/>
      <c r="T37" s="20" t="n"/>
      <c r="U37" s="16">
        <f>IFERROR(INDEX(sample.specific_sample_term!$A:$M,MATCH($E37,sample.specific_sample_term!$L:$L,FALSE),8),"")</f>
        <v/>
      </c>
      <c r="V37" s="16">
        <f>IFERROR(INDEX(sample.specific_sample_term!$A:$M,MATCH($E37,sample.specific_sample_term!$L:$L,FALSE),9),"")</f>
        <v/>
      </c>
      <c r="W37" s="20" t="n"/>
      <c r="X37" s="20" t="n"/>
      <c r="Y37" s="20" t="n"/>
      <c r="Z37" s="20" t="n"/>
      <c r="AA37" s="20" t="n"/>
      <c r="AB37" s="20" t="n"/>
      <c r="AC37" s="20" t="n"/>
    </row>
    <row r="38" ht="18.75" customHeight="1">
      <c r="A38" s="22" t="n"/>
      <c r="B38" s="22" t="n"/>
      <c r="C38" s="15" t="inlineStr">
        <is>
          <t>OFF</t>
        </is>
      </c>
      <c r="D38" s="16">
        <f>IFERROR(INDEX(sample.specific_sample_term!$A:$M,MATCH($E38,sample.specific_sample_term!$L:$L,FALSE),3),"")</f>
        <v/>
      </c>
      <c r="E38" s="2" t="n"/>
      <c r="F38" s="16">
        <f>IFERROR(INDEX(sample.specific_sample_term!$A:$M,MATCH($E38,sample.specific_sample_term!$L:$L,FALSE),12),"")</f>
        <v/>
      </c>
      <c r="G38" s="16">
        <f>IFERROR(INDEX(sample.specific_sample_term!$A:$M,MATCH($E38,sample.specific_sample_term!$L:$L,FALSE),13),"")</f>
        <v/>
      </c>
      <c r="H38" s="3" t="n"/>
      <c r="I38" s="3" t="n"/>
      <c r="J38" s="20" t="n"/>
      <c r="K38" s="3" t="n"/>
      <c r="L38" s="20" t="n"/>
      <c r="M38" s="20" t="n"/>
      <c r="N38" s="20" t="n"/>
      <c r="O38" s="20" t="n"/>
      <c r="P38" s="20" t="n"/>
      <c r="Q38" s="20" t="n"/>
      <c r="R38" s="20" t="n"/>
      <c r="S38" s="20" t="n"/>
      <c r="T38" s="20" t="n"/>
      <c r="U38" s="16">
        <f>IFERROR(INDEX(sample.specific_sample_term!$A:$M,MATCH($E38,sample.specific_sample_term!$L:$L,FALSE),8),"")</f>
        <v/>
      </c>
      <c r="V38" s="16">
        <f>IFERROR(INDEX(sample.specific_sample_term!$A:$M,MATCH($E38,sample.specific_sample_term!$L:$L,FALSE),9),"")</f>
        <v/>
      </c>
      <c r="W38" s="20" t="n"/>
      <c r="X38" s="20" t="n"/>
      <c r="Y38" s="20" t="n"/>
      <c r="Z38" s="20" t="n"/>
      <c r="AA38" s="20" t="n"/>
      <c r="AB38" s="20" t="n"/>
      <c r="AC38" s="20" t="n"/>
    </row>
    <row r="39" ht="18.75" customHeight="1">
      <c r="A39" s="22" t="n"/>
      <c r="B39" s="22" t="n"/>
      <c r="C39" s="15" t="inlineStr">
        <is>
          <t>OFF</t>
        </is>
      </c>
      <c r="D39" s="16">
        <f>IFERROR(INDEX(sample.specific_sample_term!$A:$M,MATCH($E39,sample.specific_sample_term!$L:$L,FALSE),3),"")</f>
        <v/>
      </c>
      <c r="E39" s="2" t="n"/>
      <c r="F39" s="16">
        <f>IFERROR(INDEX(sample.specific_sample_term!$A:$M,MATCH($E39,sample.specific_sample_term!$L:$L,FALSE),12),"")</f>
        <v/>
      </c>
      <c r="G39" s="16">
        <f>IFERROR(INDEX(sample.specific_sample_term!$A:$M,MATCH($E39,sample.specific_sample_term!$L:$L,FALSE),13),"")</f>
        <v/>
      </c>
      <c r="H39" s="3" t="n"/>
      <c r="I39" s="3" t="n"/>
      <c r="J39" s="20" t="n"/>
      <c r="K39" s="3" t="n"/>
      <c r="L39" s="20" t="n"/>
      <c r="M39" s="20" t="n"/>
      <c r="N39" s="20" t="n"/>
      <c r="O39" s="20" t="n"/>
      <c r="P39" s="20" t="n"/>
      <c r="Q39" s="20" t="n"/>
      <c r="R39" s="20" t="n"/>
      <c r="S39" s="20" t="n"/>
      <c r="T39" s="20" t="n"/>
      <c r="U39" s="16">
        <f>IFERROR(INDEX(sample.specific_sample_term!$A:$M,MATCH($E39,sample.specific_sample_term!$L:$L,FALSE),8),"")</f>
        <v/>
      </c>
      <c r="V39" s="16">
        <f>IFERROR(INDEX(sample.specific_sample_term!$A:$M,MATCH($E39,sample.specific_sample_term!$L:$L,FALSE),9),"")</f>
        <v/>
      </c>
      <c r="W39" s="20" t="n"/>
      <c r="X39" s="20" t="n"/>
      <c r="Y39" s="20" t="n"/>
      <c r="Z39" s="20" t="n"/>
      <c r="AA39" s="20" t="n"/>
      <c r="AB39" s="20" t="n"/>
      <c r="AC39" s="20" t="n"/>
    </row>
    <row r="40" ht="18.75" customHeight="1">
      <c r="A40" s="22" t="n"/>
      <c r="B40" s="22" t="n"/>
      <c r="C40" s="15" t="inlineStr">
        <is>
          <t>OFF</t>
        </is>
      </c>
      <c r="D40" s="16">
        <f>IFERROR(INDEX(sample.specific_sample_term!$A:$M,MATCH($E40,sample.specific_sample_term!$L:$L,FALSE),3),"")</f>
        <v/>
      </c>
      <c r="E40" s="2" t="n"/>
      <c r="F40" s="16">
        <f>IFERROR(INDEX(sample.specific_sample_term!$A:$M,MATCH($E40,sample.specific_sample_term!$L:$L,FALSE),12),"")</f>
        <v/>
      </c>
      <c r="G40" s="16">
        <f>IFERROR(INDEX(sample.specific_sample_term!$A:$M,MATCH($E40,sample.specific_sample_term!$L:$L,FALSE),13),"")</f>
        <v/>
      </c>
      <c r="H40" s="3" t="n"/>
      <c r="I40" s="3" t="n"/>
      <c r="J40" s="20" t="n"/>
      <c r="K40" s="3" t="n"/>
      <c r="L40" s="20" t="n"/>
      <c r="M40" s="20" t="n"/>
      <c r="N40" s="20" t="n"/>
      <c r="O40" s="20" t="n"/>
      <c r="P40" s="20" t="n"/>
      <c r="Q40" s="20" t="n"/>
      <c r="R40" s="20" t="n"/>
      <c r="S40" s="20" t="n"/>
      <c r="T40" s="20" t="n"/>
      <c r="U40" s="16">
        <f>IFERROR(INDEX(sample.specific_sample_term!$A:$M,MATCH($E40,sample.specific_sample_term!$L:$L,FALSE),8),"")</f>
        <v/>
      </c>
      <c r="V40" s="16">
        <f>IFERROR(INDEX(sample.specific_sample_term!$A:$M,MATCH($E40,sample.specific_sample_term!$L:$L,FALSE),9),"")</f>
        <v/>
      </c>
      <c r="W40" s="20" t="n"/>
      <c r="X40" s="20" t="n"/>
      <c r="Y40" s="20" t="n"/>
      <c r="Z40" s="20" t="n"/>
      <c r="AA40" s="20" t="n"/>
      <c r="AB40" s="20" t="n"/>
      <c r="AC40" s="20" t="n"/>
    </row>
    <row r="41" ht="18.75" customHeight="1">
      <c r="A41" s="23" t="n"/>
      <c r="B41" s="23" t="n"/>
      <c r="C41" s="15" t="inlineStr">
        <is>
          <t>OFF</t>
        </is>
      </c>
      <c r="D41" s="16">
        <f>IFERROR(INDEX(sample.specific_sample_term!$A:$M,MATCH($E41,sample.specific_sample_term!$L:$L,FALSE),3),"")</f>
        <v/>
      </c>
      <c r="E41" s="2" t="n"/>
      <c r="F41" s="16">
        <f>IFERROR(INDEX(sample.specific_sample_term!$A:$M,MATCH($E41,sample.specific_sample_term!$L:$L,FALSE),12),"")</f>
        <v/>
      </c>
      <c r="G41" s="16">
        <f>IFERROR(INDEX(sample.specific_sample_term!$A:$M,MATCH($E41,sample.specific_sample_term!$L:$L,FALSE),13),"")</f>
        <v/>
      </c>
      <c r="H41" s="3" t="n"/>
      <c r="I41" s="3" t="n"/>
      <c r="J41" s="20" t="n"/>
      <c r="K41" s="3" t="n"/>
      <c r="L41" s="20" t="n"/>
      <c r="M41" s="20" t="n"/>
      <c r="N41" s="20" t="n"/>
      <c r="O41" s="20" t="n"/>
      <c r="P41" s="20" t="n"/>
      <c r="Q41" s="20" t="n"/>
      <c r="R41" s="20" t="n"/>
      <c r="S41" s="20" t="n"/>
      <c r="T41" s="20" t="n"/>
      <c r="U41" s="16">
        <f>IFERROR(INDEX(sample.specific_sample_term!$A:$M,MATCH($E41,sample.specific_sample_term!$L:$L,FALSE),8),"")</f>
        <v/>
      </c>
      <c r="V41" s="16">
        <f>IFERROR(INDEX(sample.specific_sample_term!$A:$M,MATCH($E41,sample.specific_sample_term!$L:$L,FALSE),9),"")</f>
        <v/>
      </c>
      <c r="W41" s="20" t="n"/>
      <c r="X41" s="20" t="n"/>
      <c r="Y41" s="20" t="n"/>
      <c r="Z41" s="20" t="n"/>
      <c r="AA41" s="20" t="n"/>
      <c r="AB41" s="20" t="n"/>
      <c r="AC41" s="20" t="n"/>
    </row>
    <row r="42" ht="18.75" customHeight="1"/>
    <row r="43" ht="18.75" customHeight="1"/>
    <row r="44" ht="18.75" customHeight="1"/>
    <row r="45" ht="18.75" customHeight="1"/>
    <row r="46" ht="18.75" customHeight="1"/>
    <row r="47" ht="18.75" customHeight="1"/>
    <row r="48" ht="18.75" customHeight="1"/>
    <row r="49" ht="18.75" customHeight="1"/>
    <row r="50" ht="18.75" customHeight="1"/>
    <row r="51" ht="18.75" customHeight="1"/>
    <row r="52" ht="18.75" customHeight="1"/>
    <row r="53" ht="18.75" customHeight="1"/>
    <row r="54" ht="18.75" customHeight="1"/>
    <row r="55" ht="18.75" customHeight="1"/>
    <row r="56" ht="18.75" customHeight="1"/>
    <row r="57" ht="18.75" customHeight="1"/>
    <row r="58" ht="18.75" customHeight="1"/>
    <row r="59" ht="18.75" customHeight="1"/>
    <row r="60" ht="18.75" customHeight="1"/>
    <row r="61" ht="18.75" customHeight="1"/>
    <row r="62" ht="18.75" customHeight="1"/>
    <row r="63" ht="18.75" customHeight="1"/>
    <row r="64" ht="18.75" customHeight="1"/>
    <row r="65" ht="18.75" customHeight="1"/>
    <row r="66" ht="18.75" customHeight="1"/>
    <row r="67" ht="18.75" customHeight="1"/>
    <row r="68" ht="18.75" customHeight="1"/>
    <row r="69" ht="18.75" customHeight="1"/>
    <row r="70" ht="18.75" customHeight="1"/>
    <row r="71" ht="18.75" customHeight="1"/>
    <row r="72" ht="18.75" customHeight="1"/>
    <row r="73" ht="18.75" customHeight="1"/>
    <row r="74" ht="18.75" customHeight="1"/>
    <row r="75" ht="18.75" customHeight="1"/>
    <row r="76" ht="18.75" customHeight="1"/>
    <row r="77" ht="18.75" customHeight="1"/>
    <row r="78" ht="18.75" customHeight="1"/>
    <row r="79" ht="18.75" customHeight="1"/>
    <row r="80" ht="18.75" customHeight="1"/>
    <row r="81" ht="18.75" customHeight="1"/>
    <row r="82" ht="18.75" customHeight="1"/>
    <row r="83" ht="18.75" customHeight="1"/>
    <row r="84" ht="18.75" customHeight="1"/>
    <row r="85" ht="18.75" customHeight="1"/>
    <row r="86" ht="18.75" customHeight="1"/>
    <row r="87" ht="18.75" customHeight="1"/>
    <row r="88" ht="18.75" customHeight="1"/>
    <row r="89" ht="18.75" customHeight="1"/>
    <row r="90" ht="18.75" customHeight="1"/>
    <row r="91" ht="18.75" customHeight="1"/>
    <row r="92" ht="18.75" customHeight="1"/>
    <row r="93" ht="18.75" customHeight="1"/>
    <row r="94" ht="18.75" customHeight="1"/>
    <row r="95" ht="18.75" customHeight="1"/>
    <row r="96" ht="18.75" customHeight="1"/>
    <row r="97" ht="18.75" customHeight="1"/>
    <row r="98" ht="18.75" customHeight="1"/>
    <row r="99" ht="18.75" customHeight="1"/>
    <row r="100" ht="18.75" customHeight="1"/>
    <row r="101" ht="18.75" customHeight="1"/>
    <row r="102" ht="18.75" customHeight="1"/>
    <row r="103" ht="18.75" customHeight="1"/>
    <row r="104" ht="18.75" customHeight="1"/>
    <row r="105" ht="18.75" customHeight="1"/>
    <row r="106" ht="18.75" customHeight="1"/>
    <row r="107" ht="18.75" customHeight="1"/>
    <row r="108" ht="18.75" customHeight="1"/>
    <row r="109" ht="18.75" customHeight="1"/>
    <row r="110" ht="18.75" customHeight="1"/>
    <row r="111" ht="18.75" customHeight="1"/>
    <row r="112" ht="18.75" customHeight="1"/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  <row r="141" ht="18.75" customHeight="1"/>
    <row r="142" ht="18.75" customHeight="1"/>
    <row r="143" ht="18.75" customHeight="1"/>
    <row r="144" ht="18.75" customHeight="1"/>
    <row r="145" ht="18.75" customHeight="1"/>
    <row r="146" ht="18.75" customHeight="1"/>
    <row r="147" ht="18.75" customHeight="1"/>
    <row r="148" ht="18.75" customHeight="1"/>
    <row r="149" ht="18.75" customHeight="1"/>
    <row r="150" ht="18.75" customHeight="1"/>
    <row r="151" ht="18.75" customHeight="1"/>
    <row r="152" ht="18.75" customHeight="1"/>
    <row r="153" ht="18.75" customHeight="1"/>
    <row r="154" ht="18.75" customHeight="1"/>
    <row r="155" ht="18.75" customHeight="1"/>
    <row r="156" ht="18.75" customHeight="1"/>
    <row r="157" ht="18.75" customHeight="1"/>
    <row r="158" ht="18.75" customHeight="1"/>
    <row r="159" ht="18.75" customHeight="1"/>
    <row r="160" ht="18.75" customHeight="1"/>
    <row r="161" ht="18.75" customHeight="1"/>
    <row r="162" ht="18.75" customHeight="1"/>
    <row r="163" ht="18.75" customHeight="1"/>
    <row r="164" ht="18.75" customHeight="1"/>
    <row r="165" ht="18.75" customHeight="1"/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  <row r="951" ht="18.75" customHeight="1"/>
    <row r="952" ht="18.75" customHeight="1"/>
    <row r="953" ht="18.75" customHeight="1"/>
    <row r="954" ht="18.75" customHeight="1"/>
    <row r="955" ht="18.75" customHeight="1"/>
    <row r="956" ht="18.75" customHeight="1"/>
    <row r="957" ht="18.75" customHeight="1"/>
    <row r="958" ht="18.75" customHeight="1"/>
    <row r="959" ht="18.75" customHeight="1"/>
    <row r="960" ht="18.75" customHeight="1"/>
    <row r="961" ht="18.75" customHeight="1"/>
    <row r="962" ht="18.75" customHeight="1"/>
    <row r="963" ht="18.75" customHeight="1"/>
    <row r="964" ht="18.75" customHeight="1"/>
    <row r="965" ht="18.75" customHeight="1"/>
    <row r="966" ht="18.75" customHeight="1"/>
    <row r="967" ht="18.75" customHeight="1"/>
    <row r="968" ht="18.75" customHeight="1"/>
    <row r="969" ht="18.75" customHeight="1"/>
    <row r="970" ht="18.75" customHeight="1"/>
    <row r="971" ht="18.75" customHeight="1"/>
    <row r="972" ht="18.75" customHeight="1"/>
    <row r="973" ht="18.75" customHeight="1"/>
    <row r="974" ht="18.75" customHeight="1"/>
    <row r="975" ht="18.75" customHeight="1"/>
    <row r="976" ht="18.75" customHeight="1"/>
    <row r="977" ht="18.75" customHeight="1"/>
    <row r="978" ht="18.75" customHeight="1"/>
    <row r="979" ht="18.75" customHeight="1"/>
    <row r="980" ht="18.75" customHeight="1"/>
    <row r="981" ht="18.75" customHeight="1"/>
    <row r="982" ht="18.75" customHeight="1"/>
    <row r="983" ht="18.75" customHeight="1"/>
    <row r="984" ht="18.75" customHeight="1"/>
    <row r="985" ht="18.75" customHeight="1"/>
    <row r="986" ht="18.75" customHeight="1"/>
    <row r="987" ht="18.75" customHeight="1"/>
    <row r="988" ht="18.75" customHeight="1"/>
    <row r="989" ht="18.75" customHeight="1"/>
    <row r="990" ht="18.75" customHeight="1"/>
    <row r="991" ht="18.75" customHeight="1"/>
    <row r="992" ht="18.75" customHeight="1"/>
    <row r="993" ht="18.75" customHeight="1"/>
    <row r="994" ht="18.75" customHeight="1"/>
    <row r="995" ht="18.75" customHeight="1"/>
    <row r="996" ht="18.75" customHeight="1"/>
    <row r="997" ht="18.75" customHeight="1"/>
    <row r="998" ht="18.75" customHeight="1"/>
    <row r="999" ht="18.75" customHeight="1"/>
    <row r="1000" ht="18.75" customHeight="1"/>
  </sheetData>
  <mergeCells count="11">
    <mergeCell ref="B1:E1"/>
    <mergeCell ref="A25:A33"/>
    <mergeCell ref="A34:A41"/>
    <mergeCell ref="B34:B41"/>
    <mergeCell ref="B20:B24"/>
    <mergeCell ref="A7:A19"/>
    <mergeCell ref="B7:B19"/>
    <mergeCell ref="A20:A24"/>
    <mergeCell ref="B3:E3"/>
    <mergeCell ref="B2:E2"/>
    <mergeCell ref="B25:B33"/>
  </mergeCells>
  <conditionalFormatting sqref="B1">
    <cfRule type="expression" priority="1" dxfId="2" stopIfTrue="1">
      <formula>ISBLANK($B$1)</formula>
    </cfRule>
  </conditionalFormatting>
  <conditionalFormatting sqref="C7:C41">
    <cfRule type="expression" priority="2" dxfId="0" stopIfTrue="1">
      <formula>$C7="ON"</formula>
    </cfRule>
    <cfRule type="expression" priority="3" dxfId="1" stopIfTrue="1">
      <formula>$C7="OFF"</formula>
    </cfRule>
  </conditionalFormatting>
  <conditionalFormatting sqref="F7:F24">
    <cfRule type="expression" priority="4" dxfId="2" stopIfTrue="1">
      <formula>AND($C7="ON",ISBLANK(F7))</formula>
    </cfRule>
  </conditionalFormatting>
  <conditionalFormatting sqref="G7:G24">
    <cfRule type="expression" priority="5" dxfId="2" stopIfTrue="1">
      <formula>AND($C7="ON",ISBLANK(G7))</formula>
    </cfRule>
  </conditionalFormatting>
  <conditionalFormatting sqref="D20:D24">
    <cfRule type="expression" priority="6" dxfId="2" stopIfTrue="1">
      <formula>AND($C20="ON",ISBLANK(D20))</formula>
    </cfRule>
  </conditionalFormatting>
  <conditionalFormatting sqref="D7:D19">
    <cfRule type="expression" priority="7" dxfId="2" stopIfTrue="1">
      <formula>AND($C7="ON",ISBLANK(D7))</formula>
    </cfRule>
  </conditionalFormatting>
  <conditionalFormatting sqref="M7:M19">
    <cfRule type="expression" priority="8" dxfId="2" stopIfTrue="1">
      <formula>AND($C7="ON",ISBLANK(M7))</formula>
    </cfRule>
  </conditionalFormatting>
  <conditionalFormatting sqref="Q7:Q19">
    <cfRule type="expression" priority="9" dxfId="2" stopIfTrue="1">
      <formula>AND($C7="ON",$M7="textarea",ISBLANK(Q7))</formula>
    </cfRule>
    <cfRule type="expression" priority="10" dxfId="3" stopIfTrue="1">
      <formula>AND($C7="ON",$M7="textarea")</formula>
    </cfRule>
    <cfRule type="expression" priority="11" dxfId="4" stopIfTrue="1">
      <formula>AND($C7="ON",$M7&lt;&gt;"textarea")</formula>
    </cfRule>
  </conditionalFormatting>
  <conditionalFormatting sqref="R7:R19">
    <cfRule type="expression" priority="12" dxfId="2" stopIfTrue="1">
      <formula>AND($C7="ON",$M7="list",ISBLANK(R7))</formula>
    </cfRule>
    <cfRule type="expression" priority="13" dxfId="3" stopIfTrue="1">
      <formula>AND($C7="ON",$M7="list")</formula>
    </cfRule>
    <cfRule type="expression" priority="14" dxfId="4" stopIfTrue="1">
      <formula>AND($C7="ON",$M7&lt;&gt;"list")</formula>
    </cfRule>
  </conditionalFormatting>
  <dataValidations count="31">
    <dataValidation sqref="L7" showDropDown="0" showInputMessage="0" showErrorMessage="1" allowBlank="1" type="list" errorStyle="stop">
      <formula1>" ,TRUE"</formula1>
    </dataValidation>
    <dataValidation sqref="L8" showDropDown="0" showInputMessage="0" showErrorMessage="1" allowBlank="1" type="list" errorStyle="stop">
      <formula1>" ,TRUE"</formula1>
    </dataValidation>
    <dataValidation sqref="L9" showDropDown="0" showInputMessage="0" showErrorMessage="1" allowBlank="1" type="list" errorStyle="stop">
      <formula1>" ,TRUE"</formula1>
    </dataValidation>
    <dataValidation sqref="L10" showDropDown="0" showInputMessage="0" showErrorMessage="1" allowBlank="1" type="list" errorStyle="stop">
      <formula1>" ,TRUE"</formula1>
    </dataValidation>
    <dataValidation sqref="L11" showDropDown="0" showInputMessage="0" showErrorMessage="1" allowBlank="1" type="list" errorStyle="stop">
      <formula1>" ,TRUE"</formula1>
    </dataValidation>
    <dataValidation sqref="L12" showDropDown="0" showInputMessage="0" showErrorMessage="1" allowBlank="1" type="list" errorStyle="stop">
      <formula1>" ,TRUE"</formula1>
    </dataValidation>
    <dataValidation sqref="L13" showDropDown="0" showInputMessage="0" showErrorMessage="1" allowBlank="1" type="list" errorStyle="stop">
      <formula1>" ,TRUE"</formula1>
    </dataValidation>
    <dataValidation sqref="L14" showDropDown="0" showInputMessage="0" showErrorMessage="1" allowBlank="1" type="list" errorStyle="stop">
      <formula1>" ,TRUE"</formula1>
    </dataValidation>
    <dataValidation sqref="L15" showDropDown="0" showInputMessage="0" showErrorMessage="1" allowBlank="1" type="list" errorStyle="stop">
      <formula1>" ,TRUE"</formula1>
    </dataValidation>
    <dataValidation sqref="L16" showDropDown="0" showInputMessage="0" showErrorMessage="1" allowBlank="1" type="list" errorStyle="stop">
      <formula1>" ,TRUE"</formula1>
    </dataValidation>
    <dataValidation sqref="L17" showDropDown="0" showInputMessage="0" showErrorMessage="1" allowBlank="1" type="list" errorStyle="stop">
      <formula1>" ,TRUE"</formula1>
    </dataValidation>
    <dataValidation sqref="L18" showDropDown="0" showInputMessage="0" showErrorMessage="1" allowBlank="1" type="list" errorStyle="stop">
      <formula1>" ,TRUE"</formula1>
    </dataValidation>
    <dataValidation sqref="L19" showDropDown="0" showInputMessage="0" showErrorMessage="1" allowBlank="1" type="list" errorStyle="stop">
      <formula1>" ,TRUE"</formula1>
    </dataValidation>
    <dataValidation sqref="E25" showDropDown="0" showInputMessage="0" showErrorMessage="1" allowBlank="1" type="list" errorStyle="stop">
      <formula1>=sample.general_sample_term!$C$2:$C$25</formula1>
    </dataValidation>
    <dataValidation sqref="E26" showDropDown="0" showInputMessage="0" showErrorMessage="1" allowBlank="1" type="list" errorStyle="stop">
      <formula1>=sample.general_sample_term!$C$2:$C$25</formula1>
    </dataValidation>
    <dataValidation sqref="E27" showDropDown="0" showInputMessage="0" showErrorMessage="1" allowBlank="1" type="list" errorStyle="stop">
      <formula1>=sample.general_sample_term!$C$2:$C$25</formula1>
    </dataValidation>
    <dataValidation sqref="E28" showDropDown="0" showInputMessage="0" showErrorMessage="1" allowBlank="1" type="list" errorStyle="stop">
      <formula1>=sample.general_sample_term!$C$2:$C$25</formula1>
    </dataValidation>
    <dataValidation sqref="E29" showDropDown="0" showInputMessage="0" showErrorMessage="1" allowBlank="1" type="list" errorStyle="stop">
      <formula1>=sample.general_sample_term!$C$2:$C$25</formula1>
    </dataValidation>
    <dataValidation sqref="E30" showDropDown="0" showInputMessage="0" showErrorMessage="1" allowBlank="1" type="list" errorStyle="stop">
      <formula1>=sample.general_sample_term!$C$2:$C$25</formula1>
    </dataValidation>
    <dataValidation sqref="E31" showDropDown="0" showInputMessage="0" showErrorMessage="1" allowBlank="1" type="list" errorStyle="stop">
      <formula1>=sample.general_sample_term!$C$2:$C$25</formula1>
    </dataValidation>
    <dataValidation sqref="E32" showDropDown="0" showInputMessage="0" showErrorMessage="1" allowBlank="1" type="list" errorStyle="stop">
      <formula1>=sample.general_sample_term!$C$2:$C$25</formula1>
    </dataValidation>
    <dataValidation sqref="E33" showDropDown="0" showInputMessage="0" showErrorMessage="1" allowBlank="1" type="list" errorStyle="stop">
      <formula1>=sample.general_sample_term!$C$2:$C$25</formula1>
    </dataValidation>
    <dataValidation sqref="E34" showDropDown="0" showInputMessage="0" showErrorMessage="1" allowBlank="1" type="list" errorStyle="stop">
      <formula1>=sample.specific_sample_term!$L$2:$L$36</formula1>
    </dataValidation>
    <dataValidation sqref="E35" showDropDown="0" showInputMessage="0" showErrorMessage="1" allowBlank="1" type="list" errorStyle="stop">
      <formula1>=sample.specific_sample_term!$L$2:$L$36</formula1>
    </dataValidation>
    <dataValidation sqref="E36" showDropDown="0" showInputMessage="0" showErrorMessage="1" allowBlank="1" type="list" errorStyle="stop">
      <formula1>=sample.specific_sample_term!$L$2:$L$36</formula1>
    </dataValidation>
    <dataValidation sqref="E37" showDropDown="0" showInputMessage="0" showErrorMessage="1" allowBlank="1" type="list" errorStyle="stop">
      <formula1>=sample.specific_sample_term!$L$2:$L$36</formula1>
    </dataValidation>
    <dataValidation sqref="E38" showDropDown="0" showInputMessage="0" showErrorMessage="1" allowBlank="1" type="list" errorStyle="stop">
      <formula1>=sample.specific_sample_term!$L$2:$L$36</formula1>
    </dataValidation>
    <dataValidation sqref="E39" showDropDown="0" showInputMessage="0" showErrorMessage="1" allowBlank="1" type="list" errorStyle="stop">
      <formula1>=sample.specific_sample_term!$L$2:$L$36</formula1>
    </dataValidation>
    <dataValidation sqref="E40" showDropDown="0" showInputMessage="0" showErrorMessage="1" allowBlank="1" type="list" errorStyle="stop">
      <formula1>=sample.specific_sample_term!$L$2:$L$36</formula1>
    </dataValidation>
    <dataValidation sqref="E41" showDropDown="0" showInputMessage="0" showErrorMessage="1" allowBlank="1" type="list" errorStyle="stop">
      <formula1>=sample.specific_sample_term!$L$2:$L$36</formula1>
    </dataValidation>
    <dataValidation sqref="C7:C41" showDropDown="0" showInputMessage="0" showErrorMessage="1" allowBlank="1" type="list" errorStyle="stop">
      <formula1>"ON,OFF"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76"/>
  <sheetViews>
    <sheetView tabSelected="0" workbookViewId="0">
      <selection activeCell="A1" sqref="A1"/>
    </sheetView>
  </sheetViews>
  <sheetFormatPr baseColWidth="8" defaultRowHeight="15"/>
  <cols>
    <col width="45" customWidth="1" min="1" max="1"/>
    <col width="50" customWidth="1" min="2" max="2"/>
    <col width="55" customWidth="1" min="3" max="3"/>
    <col width="30" customWidth="1" min="4" max="4"/>
    <col width="25" customWidth="1" min="5" max="5"/>
    <col width="40" customWidth="1" min="6" max="6"/>
    <col width="30" customWidth="1" min="7" max="7"/>
  </cols>
  <sheetData>
    <row r="1" ht="18.75" customHeight="1">
      <c r="A1" s="3" t="inlineStr">
        <is>
          <t>id</t>
        </is>
      </c>
      <c r="B1" s="3" t="inlineStr">
        <is>
          <t>name_ja</t>
        </is>
      </c>
      <c r="C1" s="3" t="inlineStr">
        <is>
          <t>name_en</t>
        </is>
      </c>
      <c r="D1" s="3" t="inlineStr">
        <is>
          <t>hint_ja</t>
        </is>
      </c>
      <c r="E1" s="3" t="inlineStr">
        <is>
          <t>hint_en</t>
        </is>
      </c>
      <c r="F1" s="3" t="inlineStr">
        <is>
          <t>term_uri</t>
        </is>
      </c>
      <c r="G1" s="3" t="inlineStr">
        <is>
          <t>created</t>
        </is>
      </c>
    </row>
    <row r="2" ht="18.75" customHeight="1">
      <c r="A2" s="3" t="inlineStr">
        <is>
          <t>2f815032-c60b-2c42-46dd-cdb4624ede4b</t>
        </is>
      </c>
      <c r="B2" s="3" t="inlineStr">
        <is>
          <t>計測装置</t>
        </is>
      </c>
      <c r="C2" s="3" t="inlineStr">
        <is>
          <t>Characterization Instrument</t>
        </is>
      </c>
      <c r="D2" s="3" t="inlineStr"/>
      <c r="E2" s="3" t="inlineStr"/>
      <c r="F2" s="3" t="inlineStr">
        <is>
          <t>https://matvoc.nims.go.jp/entity/Q1885</t>
        </is>
      </c>
      <c r="G2" s="3" t="inlineStr">
        <is>
          <t>2022-07-11 04:36:42.734137+00</t>
        </is>
      </c>
    </row>
    <row r="3" ht="18.75" customHeight="1">
      <c r="A3" s="3" t="inlineStr">
        <is>
          <t>2f7cdff7-bc05-6fb3-3d5e-30827a252aaa</t>
        </is>
      </c>
      <c r="B3" s="3" t="inlineStr">
        <is>
          <t>磁気共鳴</t>
        </is>
      </c>
      <c r="C3" s="3" t="inlineStr">
        <is>
          <t>Magnetic Resonance</t>
        </is>
      </c>
      <c r="D3" s="3" t="inlineStr"/>
      <c r="E3" s="3" t="inlineStr"/>
      <c r="F3" s="3" t="inlineStr">
        <is>
          <t>https://matvoc.nims.go.jp/entity/Q1888</t>
        </is>
      </c>
      <c r="G3" s="3" t="inlineStr">
        <is>
          <t>2022-07-11 04:36:42.734137+00</t>
        </is>
      </c>
    </row>
    <row r="4" ht="18.75" customHeight="1">
      <c r="A4" s="3" t="inlineStr">
        <is>
          <t>e6bbc4b0-a89c-a7d9-65b3-08777b320816</t>
        </is>
      </c>
      <c r="B4" s="3" t="inlineStr">
        <is>
          <t>核磁気共鳴装置</t>
        </is>
      </c>
      <c r="C4" s="3" t="inlineStr">
        <is>
          <t>Nuclear Magnetic Resonance</t>
        </is>
      </c>
      <c r="D4" s="3" t="inlineStr"/>
      <c r="E4" s="3" t="inlineStr"/>
      <c r="F4" s="3" t="inlineStr">
        <is>
          <t>https://matvoc.nims.go.jp/entity/Q2116</t>
        </is>
      </c>
      <c r="G4" s="3" t="inlineStr">
        <is>
          <t>2022-07-11 04:36:42.734137+00</t>
        </is>
      </c>
    </row>
    <row r="5" ht="18.75" customHeight="1">
      <c r="A5" s="3" t="inlineStr">
        <is>
          <t>9cac4bf4-b310-6840-499d-59dd515b5ab5</t>
        </is>
      </c>
      <c r="B5" s="3" t="inlineStr">
        <is>
          <t>磁気共鳴画像診断</t>
        </is>
      </c>
      <c r="C5" s="3" t="inlineStr">
        <is>
          <t>Magnetic Resonance Imaging</t>
        </is>
      </c>
      <c r="D5" s="3" t="inlineStr"/>
      <c r="E5" s="3" t="inlineStr"/>
      <c r="F5" s="3" t="inlineStr">
        <is>
          <t>https://matvoc.nims.go.jp/entity/Q2117</t>
        </is>
      </c>
      <c r="G5" s="3" t="inlineStr">
        <is>
          <t>2022-07-11 04:36:42.734137+00</t>
        </is>
      </c>
    </row>
    <row r="6" ht="18.75" customHeight="1">
      <c r="A6" s="3" t="inlineStr">
        <is>
          <t>6268c0bb-2636-4769-6ab0-a06ae0d03b61</t>
        </is>
      </c>
      <c r="B6" s="3" t="inlineStr">
        <is>
          <t>電子スピン共鳴</t>
        </is>
      </c>
      <c r="C6" s="3" t="inlineStr">
        <is>
          <t>Electron Spin Resonance</t>
        </is>
      </c>
      <c r="D6" s="3" t="inlineStr"/>
      <c r="E6" s="3" t="inlineStr"/>
      <c r="F6" s="3" t="inlineStr">
        <is>
          <t>https://matvoc.nims.go.jp/entity/Q2118</t>
        </is>
      </c>
      <c r="G6" s="3" t="inlineStr">
        <is>
          <t>2022-07-11 04:36:42.734137+00</t>
        </is>
      </c>
    </row>
    <row r="7" ht="18.75" customHeight="1">
      <c r="A7" s="3" t="inlineStr">
        <is>
          <t>388d9707-6c0f-3f0b-3770-c8959e21614b</t>
        </is>
      </c>
      <c r="B7" s="3" t="inlineStr">
        <is>
          <t>電子顕微鏡</t>
        </is>
      </c>
      <c r="C7" s="3" t="inlineStr">
        <is>
          <t>Electron Microscope</t>
        </is>
      </c>
      <c r="D7" s="3" t="inlineStr"/>
      <c r="E7" s="3" t="inlineStr"/>
      <c r="F7" s="3" t="inlineStr">
        <is>
          <t>https://matvoc.nims.go.jp/entity/Q1923</t>
        </is>
      </c>
      <c r="G7" s="3" t="inlineStr">
        <is>
          <t>2022-07-11 04:36:42.734137+00</t>
        </is>
      </c>
    </row>
    <row r="8" ht="18.75" customHeight="1">
      <c r="A8" s="3" t="inlineStr">
        <is>
          <t>b46a3376-3789-9ed3-d3a3-bff79de11501</t>
        </is>
      </c>
      <c r="B8" s="3" t="inlineStr">
        <is>
          <t>透過型電子顕微鏡</t>
        </is>
      </c>
      <c r="C8" s="3" t="inlineStr">
        <is>
          <t>Transmission Electron Microscope</t>
        </is>
      </c>
      <c r="D8" s="3" t="inlineStr"/>
      <c r="E8" s="3" t="inlineStr"/>
      <c r="F8" s="3" t="inlineStr">
        <is>
          <t>https://matvoc.nims.go.jp/entity/Q2119</t>
        </is>
      </c>
      <c r="G8" s="3" t="inlineStr">
        <is>
          <t>2022-07-11 04:36:42.734137+00</t>
        </is>
      </c>
    </row>
    <row r="9" ht="18.75" customHeight="1">
      <c r="A9" s="3" t="inlineStr">
        <is>
          <t>1359fc21-f043-ccdf-7d12-33117909f55f</t>
        </is>
      </c>
      <c r="B9" s="3" t="inlineStr">
        <is>
          <t>走査型透過電子顕微鏡</t>
        </is>
      </c>
      <c r="C9" s="3" t="inlineStr">
        <is>
          <t>Scanning Transmission Electron Microscope</t>
        </is>
      </c>
      <c r="D9" s="3" t="inlineStr"/>
      <c r="E9" s="3" t="inlineStr"/>
      <c r="F9" s="3" t="inlineStr">
        <is>
          <t>https://matvoc.nims.go.jp/entity/Q2120</t>
        </is>
      </c>
      <c r="G9" s="3" t="inlineStr">
        <is>
          <t>2022-07-11 04:36:42.734137+00</t>
        </is>
      </c>
    </row>
    <row r="10" ht="18.75" customHeight="1">
      <c r="A10" s="3" t="inlineStr">
        <is>
          <t>ae9aa759-1af2-2155-654f-c8a2bacba3f9</t>
        </is>
      </c>
      <c r="B10" s="3" t="inlineStr">
        <is>
          <t>走査型電子顕微鏡</t>
        </is>
      </c>
      <c r="C10" s="3" t="inlineStr">
        <is>
          <t>Scannning Electron Microscope</t>
        </is>
      </c>
      <c r="D10" s="3" t="inlineStr"/>
      <c r="E10" s="3" t="inlineStr"/>
      <c r="F10" s="3" t="inlineStr">
        <is>
          <t>https://matvoc.nims.go.jp/entity/Q2121</t>
        </is>
      </c>
      <c r="G10" s="3" t="inlineStr">
        <is>
          <t>2022-07-11 04:36:42.734137+00</t>
        </is>
      </c>
    </row>
    <row r="11" ht="18.75" customHeight="1">
      <c r="A11" s="3" t="inlineStr">
        <is>
          <t>b4f9c6b7-8b98-bef0-3148-b65bc67cf333</t>
        </is>
      </c>
      <c r="B11" s="3" t="inlineStr">
        <is>
          <t>超高圧電子顕微鏡</t>
        </is>
      </c>
      <c r="C11" s="3" t="inlineStr">
        <is>
          <t>Ultra-high Voltage Electron Microscope</t>
        </is>
      </c>
      <c r="D11" s="3" t="inlineStr"/>
      <c r="E11" s="3" t="inlineStr"/>
      <c r="F11" s="3" t="inlineStr">
        <is>
          <t>https://matvoc.nims.go.jp/entity/Q2122</t>
        </is>
      </c>
      <c r="G11" s="3" t="inlineStr">
        <is>
          <t>2022-07-11 04:36:42.734137+00</t>
        </is>
      </c>
    </row>
    <row r="12" ht="18.75" customHeight="1">
      <c r="A12" s="3" t="inlineStr">
        <is>
          <t>c611ca1d-9001-8c1f-d450-2542698c3d05</t>
        </is>
      </c>
      <c r="B12" s="3" t="inlineStr">
        <is>
          <t>クライオ電子顕微鏡</t>
        </is>
      </c>
      <c r="C12" s="3" t="inlineStr">
        <is>
          <t>Cryo-Electron Microscope</t>
        </is>
      </c>
      <c r="D12" s="3" t="inlineStr"/>
      <c r="E12" s="3" t="inlineStr"/>
      <c r="F12" s="3" t="inlineStr">
        <is>
          <t>https://matvoc.nims.go.jp/entity/Q2123</t>
        </is>
      </c>
      <c r="G12" s="3" t="inlineStr">
        <is>
          <t>2022-07-11 04:36:42.734137+00</t>
        </is>
      </c>
    </row>
    <row r="13" ht="18.75" customHeight="1">
      <c r="A13" s="3" t="inlineStr">
        <is>
          <t>b941b1db-8b17-69c8-2129-92f48dfe26f8</t>
        </is>
      </c>
      <c r="B13" s="3" t="inlineStr">
        <is>
          <t>三次元電子顕微鏡</t>
        </is>
      </c>
      <c r="C13" s="3" t="inlineStr">
        <is>
          <t>3D Electron Microscope</t>
        </is>
      </c>
      <c r="D13" s="3" t="inlineStr"/>
      <c r="E13" s="3" t="inlineStr"/>
      <c r="F13" s="3" t="inlineStr">
        <is>
          <t>https://matvoc.nims.go.jp/entity/Q2124</t>
        </is>
      </c>
      <c r="G13" s="3" t="inlineStr">
        <is>
          <t>2022-07-11 04:36:42.734137+00</t>
        </is>
      </c>
    </row>
    <row r="14" ht="18.75" customHeight="1">
      <c r="A14" s="3" t="inlineStr">
        <is>
          <t>b3e00b78-ec31-5c76-15af-588847077987</t>
        </is>
      </c>
      <c r="B14" s="3" t="inlineStr">
        <is>
          <t>光・電子相関顕微鏡</t>
        </is>
      </c>
      <c r="C14" s="3" t="inlineStr">
        <is>
          <t>Correlative Microscopy</t>
        </is>
      </c>
      <c r="D14" s="3" t="inlineStr"/>
      <c r="E14" s="3" t="inlineStr"/>
      <c r="F14" s="3" t="inlineStr">
        <is>
          <t>https://matvoc.nims.go.jp/entity/Q2125</t>
        </is>
      </c>
      <c r="G14" s="3" t="inlineStr">
        <is>
          <t>2022-07-11 04:36:42.734137+00</t>
        </is>
      </c>
    </row>
    <row r="15" ht="18.75" customHeight="1">
      <c r="A15" s="3" t="inlineStr">
        <is>
          <t>0ae3d47d-46ea-a25a-de9d-37ca74fa3b81</t>
        </is>
      </c>
      <c r="B15" s="3" t="inlineStr">
        <is>
          <t>光電子顕微鏡</t>
        </is>
      </c>
      <c r="C15" s="3" t="inlineStr">
        <is>
          <t>Photoemission Electron Microscope</t>
        </is>
      </c>
      <c r="D15" s="3" t="inlineStr"/>
      <c r="E15" s="3" t="inlineStr"/>
      <c r="F15" s="3" t="inlineStr">
        <is>
          <t>https://matvoc.nims.go.jp/entity/Q2126</t>
        </is>
      </c>
      <c r="G15" s="3" t="inlineStr">
        <is>
          <t>2022-07-11 04:36:42.734137+00</t>
        </is>
      </c>
    </row>
    <row r="16" ht="18.75" customHeight="1">
      <c r="A16" s="3" t="inlineStr">
        <is>
          <t>6077793a-dc55-803d-652d-408418fb6517</t>
        </is>
      </c>
      <c r="B16" s="3" t="inlineStr">
        <is>
          <t>低エネルギー電子顕微鏡</t>
        </is>
      </c>
      <c r="C16" s="3" t="inlineStr">
        <is>
          <t>Low-energy Electron Microscope</t>
        </is>
      </c>
      <c r="D16" s="3" t="inlineStr"/>
      <c r="E16" s="3" t="inlineStr"/>
      <c r="F16" s="3" t="inlineStr">
        <is>
          <t>https://matvoc.nims.go.jp/entity/Q2127</t>
        </is>
      </c>
      <c r="G16" s="3" t="inlineStr">
        <is>
          <t>2022-07-11 04:36:42.734137+00</t>
        </is>
      </c>
    </row>
    <row r="17" ht="18.75" customHeight="1">
      <c r="A17" s="3" t="inlineStr">
        <is>
          <t>7873dab9-7a2d-cf3f-bcd3-5b5341c539aa</t>
        </is>
      </c>
      <c r="B17" s="3" t="inlineStr">
        <is>
          <t>電子線プローブマイクロアナライザー</t>
        </is>
      </c>
      <c r="C17" s="3" t="inlineStr">
        <is>
          <t>Electron Probe Micro Analyzer</t>
        </is>
      </c>
      <c r="D17" s="3" t="inlineStr"/>
      <c r="E17" s="3" t="inlineStr"/>
      <c r="F17" s="3" t="inlineStr">
        <is>
          <t>https://matvoc.nims.go.jp/entity/Q2128</t>
        </is>
      </c>
      <c r="G17" s="3" t="inlineStr">
        <is>
          <t>2022-07-11 04:36:42.734137+00</t>
        </is>
      </c>
    </row>
    <row r="18" ht="18.75" customHeight="1">
      <c r="A18" s="3" t="inlineStr">
        <is>
          <t>918cee56-40cb-125d-0b25-697d61684bf5</t>
        </is>
      </c>
      <c r="B18" s="3" t="inlineStr">
        <is>
          <t>試料作成・加工</t>
        </is>
      </c>
      <c r="C18" s="3" t="inlineStr">
        <is>
          <t>Sample Prepration</t>
        </is>
      </c>
      <c r="D18" s="3" t="inlineStr"/>
      <c r="E18" s="3" t="inlineStr"/>
      <c r="F18" s="3" t="inlineStr">
        <is>
          <t>https://matvoc.nims.go.jp/entity/Q1924</t>
        </is>
      </c>
      <c r="G18" s="3" t="inlineStr">
        <is>
          <t>2022-07-11 04:36:42.734137+00</t>
        </is>
      </c>
    </row>
    <row r="19" ht="18.75" customHeight="1">
      <c r="A19" s="3" t="inlineStr">
        <is>
          <t>88bc6257-0765-f09d-b58d-8068d44c7fd7</t>
        </is>
      </c>
      <c r="B19" s="3" t="inlineStr">
        <is>
          <t>イオンミリング</t>
        </is>
      </c>
      <c r="C19" s="3" t="inlineStr">
        <is>
          <t>Ion Milling</t>
        </is>
      </c>
      <c r="D19" s="3" t="inlineStr"/>
      <c r="E19" s="3" t="inlineStr"/>
      <c r="F19" s="3" t="inlineStr">
        <is>
          <t>https://matvoc.nims.go.jp/entity/Q2129</t>
        </is>
      </c>
      <c r="G19" s="3" t="inlineStr">
        <is>
          <t>2022-07-11 04:36:42.734137+00</t>
        </is>
      </c>
    </row>
    <row r="20" ht="18.75" customHeight="1">
      <c r="A20" s="3" t="inlineStr">
        <is>
          <t>c91f5e74-a0ad-2cf3-48cd-da72769ad82a</t>
        </is>
      </c>
      <c r="B20" s="3" t="inlineStr">
        <is>
          <t>集束イオンビーム</t>
        </is>
      </c>
      <c r="C20" s="3" t="inlineStr">
        <is>
          <t>Focused Ion Beam</t>
        </is>
      </c>
      <c r="D20" s="3" t="inlineStr"/>
      <c r="E20" s="3" t="inlineStr"/>
      <c r="F20" s="3" t="inlineStr">
        <is>
          <t>https://matvoc.nims.go.jp/entity/Q2130</t>
        </is>
      </c>
      <c r="G20" s="3" t="inlineStr">
        <is>
          <t>2022-07-11 04:36:42.734137+00</t>
        </is>
      </c>
    </row>
    <row r="21" ht="18.75" customHeight="1">
      <c r="A21" s="3" t="inlineStr">
        <is>
          <t>d052fe39-bfd5-e7d2-e2a9-7435b30e0115</t>
        </is>
      </c>
      <c r="B21" s="3" t="inlineStr">
        <is>
          <t>ウルトラミクロトーム</t>
        </is>
      </c>
      <c r="C21" s="3" t="inlineStr">
        <is>
          <t>Ultramicrotome</t>
        </is>
      </c>
      <c r="D21" s="3" t="inlineStr"/>
      <c r="E21" s="3" t="inlineStr"/>
      <c r="F21" s="3" t="inlineStr">
        <is>
          <t>https://matvoc.nims.go.jp/entity/Q2131</t>
        </is>
      </c>
      <c r="G21" s="3" t="inlineStr">
        <is>
          <t>2022-07-11 04:36:42.734137+00</t>
        </is>
      </c>
    </row>
    <row r="22" ht="18.75" customHeight="1">
      <c r="A22" s="3" t="inlineStr">
        <is>
          <t>d7381d4f-c176-f6b5-5699-5a8861b21c85</t>
        </is>
      </c>
      <c r="B22" s="3" t="inlineStr">
        <is>
          <t>光学顕微鏡</t>
        </is>
      </c>
      <c r="C22" s="3" t="inlineStr">
        <is>
          <t>Optical Microscope</t>
        </is>
      </c>
      <c r="D22" s="3" t="inlineStr"/>
      <c r="E22" s="3" t="inlineStr"/>
      <c r="F22" s="3" t="inlineStr">
        <is>
          <t>https://matvoc.nims.go.jp/entity/Q1925</t>
        </is>
      </c>
      <c r="G22" s="3" t="inlineStr">
        <is>
          <t>2022-07-11 04:36:42.734137+00</t>
        </is>
      </c>
    </row>
    <row r="23" ht="18.75" customHeight="1">
      <c r="A23" s="3" t="inlineStr">
        <is>
          <t>407a48c0-4c56-c8f3-99eb-100d9048afe8</t>
        </is>
      </c>
      <c r="B23" s="3" t="inlineStr">
        <is>
          <t>共焦点レーザー走査型顕微鏡</t>
        </is>
      </c>
      <c r="C23" s="3" t="inlineStr">
        <is>
          <t>Confocal Laser Scanning Microscope</t>
        </is>
      </c>
      <c r="D23" s="3" t="inlineStr"/>
      <c r="E23" s="3" t="inlineStr"/>
      <c r="F23" s="3" t="inlineStr">
        <is>
          <t>https://matvoc.nims.go.jp/entity/Q2132</t>
        </is>
      </c>
      <c r="G23" s="3" t="inlineStr">
        <is>
          <t>2022-07-11 04:36:42.734137+00</t>
        </is>
      </c>
    </row>
    <row r="24" ht="18.75" customHeight="1">
      <c r="A24" s="3" t="inlineStr">
        <is>
          <t>f09a2f93-3b6f-a31f-a3eb-a3fa2dc36734</t>
        </is>
      </c>
      <c r="B24" s="3" t="inlineStr">
        <is>
          <t>蛍光顕微鏡</t>
        </is>
      </c>
      <c r="C24" s="3" t="inlineStr">
        <is>
          <t>Fluorescence Microscope</t>
        </is>
      </c>
      <c r="D24" s="3" t="inlineStr"/>
      <c r="E24" s="3" t="inlineStr"/>
      <c r="F24" s="3" t="inlineStr">
        <is>
          <t>https://matvoc.nims.go.jp/entity/Q2133</t>
        </is>
      </c>
      <c r="G24" s="3" t="inlineStr">
        <is>
          <t>2022-07-11 04:36:42.734137+00</t>
        </is>
      </c>
    </row>
    <row r="25" ht="18.75" customHeight="1">
      <c r="A25" s="3" t="inlineStr">
        <is>
          <t>0a44b837-a073-e2ba-0431-badf9a5cf3bc</t>
        </is>
      </c>
      <c r="B25" s="3" t="inlineStr">
        <is>
          <t>実体顕微鏡</t>
        </is>
      </c>
      <c r="C25" s="3" t="inlineStr">
        <is>
          <t>Stereoscopic Microscope</t>
        </is>
      </c>
      <c r="D25" s="3" t="inlineStr"/>
      <c r="E25" s="3" t="inlineStr"/>
      <c r="F25" s="3" t="inlineStr">
        <is>
          <t>https://matvoc.nims.go.jp/entity/Q2134</t>
        </is>
      </c>
      <c r="G25" s="3" t="inlineStr">
        <is>
          <t>2022-07-11 04:36:42.734137+00</t>
        </is>
      </c>
    </row>
    <row r="26" ht="18.75" customHeight="1">
      <c r="A26" s="3" t="inlineStr">
        <is>
          <t>8e5ebdad-0785-29cd-9075-0673bb3505a1</t>
        </is>
      </c>
      <c r="B26" s="3" t="inlineStr">
        <is>
          <t>超解像顕微鏡</t>
        </is>
      </c>
      <c r="C26" s="3" t="inlineStr">
        <is>
          <t>Super Resolution Microscope</t>
        </is>
      </c>
      <c r="D26" s="3" t="inlineStr"/>
      <c r="E26" s="3" t="inlineStr"/>
      <c r="F26" s="3" t="inlineStr">
        <is>
          <t>https://matvoc.nims.go.jp/entity/Q2135</t>
        </is>
      </c>
      <c r="G26" s="3" t="inlineStr">
        <is>
          <t>2022-07-11 04:36:42.734137+00</t>
        </is>
      </c>
    </row>
    <row r="27" ht="18.75" customHeight="1">
      <c r="A27" s="3" t="inlineStr">
        <is>
          <t>e0ea304f-deed-c4ac-010b-421eaa751ec7</t>
        </is>
      </c>
      <c r="B27" s="3" t="inlineStr">
        <is>
          <t>位相差顕微鏡</t>
        </is>
      </c>
      <c r="C27" s="3" t="inlineStr">
        <is>
          <t>Phase-contrast Microscope</t>
        </is>
      </c>
      <c r="D27" s="3" t="inlineStr"/>
      <c r="E27" s="3" t="inlineStr"/>
      <c r="F27" s="3" t="inlineStr">
        <is>
          <t>https://matvoc.nims.go.jp/entity/Q2136</t>
        </is>
      </c>
      <c r="G27" s="3" t="inlineStr">
        <is>
          <t>2022-07-11 04:36:42.734137+00</t>
        </is>
      </c>
    </row>
    <row r="28" ht="18.75" customHeight="1">
      <c r="A28" s="3" t="inlineStr">
        <is>
          <t>a47aa22d-5b0a-b02a-b884-7354225158e3</t>
        </is>
      </c>
      <c r="B28" s="3" t="inlineStr">
        <is>
          <t>走査型プローブ顕微鏡</t>
        </is>
      </c>
      <c r="C28" s="3" t="inlineStr">
        <is>
          <t>Scanning Probe Microscope</t>
        </is>
      </c>
      <c r="D28" s="3" t="inlineStr"/>
      <c r="E28" s="3" t="inlineStr"/>
      <c r="F28" s="3" t="inlineStr">
        <is>
          <t>https://matvoc.nims.go.jp/entity/Q1926</t>
        </is>
      </c>
      <c r="G28" s="3" t="inlineStr">
        <is>
          <t>2022-07-11 04:36:42.734137+00</t>
        </is>
      </c>
    </row>
    <row r="29" ht="18.75" customHeight="1">
      <c r="A29" s="3" t="inlineStr">
        <is>
          <t>b063acb0-ca84-83d0-4845-d9011c5c9cd7</t>
        </is>
      </c>
      <c r="B29" s="3" t="inlineStr">
        <is>
          <t>走査型トンネル顕微鏡</t>
        </is>
      </c>
      <c r="C29" s="3" t="inlineStr">
        <is>
          <t>Scanning Tunneling Microscope</t>
        </is>
      </c>
      <c r="D29" s="3" t="inlineStr"/>
      <c r="E29" s="3" t="inlineStr"/>
      <c r="F29" s="3" t="inlineStr">
        <is>
          <t>https://matvoc.nims.go.jp/entity/Q2137</t>
        </is>
      </c>
      <c r="G29" s="3" t="inlineStr">
        <is>
          <t>2022-07-11 04:36:42.734137+00</t>
        </is>
      </c>
    </row>
    <row r="30" ht="18.75" customHeight="1">
      <c r="A30" s="3" t="inlineStr">
        <is>
          <t>36c68412-4ce4-df29-c562-cdb0ca675708</t>
        </is>
      </c>
      <c r="B30" s="3" t="inlineStr">
        <is>
          <t>原子間力顕微鏡</t>
        </is>
      </c>
      <c r="C30" s="3" t="inlineStr">
        <is>
          <t>Atomic Force Microscope</t>
        </is>
      </c>
      <c r="D30" s="3" t="inlineStr"/>
      <c r="E30" s="3" t="inlineStr"/>
      <c r="F30" s="3" t="inlineStr">
        <is>
          <t>https://matvoc.nims.go.jp/entity/Q2138</t>
        </is>
      </c>
      <c r="G30" s="3" t="inlineStr">
        <is>
          <t>2022-07-11 04:36:42.734137+00</t>
        </is>
      </c>
    </row>
    <row r="31" ht="18.75" customHeight="1">
      <c r="A31" s="3" t="inlineStr">
        <is>
          <t>0bf7d077-2bb3-3776-fa8b-c22e3e593f9d</t>
        </is>
      </c>
      <c r="B31" s="3" t="inlineStr">
        <is>
          <t>クロマトグラフ</t>
        </is>
      </c>
      <c r="C31" s="3" t="inlineStr">
        <is>
          <t>Chromatograph</t>
        </is>
      </c>
      <c r="D31" s="3" t="inlineStr"/>
      <c r="E31" s="3" t="inlineStr"/>
      <c r="F31" s="3" t="inlineStr">
        <is>
          <t>https://matvoc.nims.go.jp/entity/Q1927</t>
        </is>
      </c>
      <c r="G31" s="3" t="inlineStr">
        <is>
          <t>2022-07-11 04:36:42.734137+00</t>
        </is>
      </c>
    </row>
    <row r="32" ht="18.75" customHeight="1">
      <c r="A32" s="3" t="inlineStr">
        <is>
          <t>4f9ed9a8-acb5-cb63-5c94-037529d3579a</t>
        </is>
      </c>
      <c r="B32" s="3" t="inlineStr">
        <is>
          <t>ガスクロマトグラフ</t>
        </is>
      </c>
      <c r="C32" s="3" t="inlineStr">
        <is>
          <t>Gas-phase Chromatograph</t>
        </is>
      </c>
      <c r="D32" s="3" t="inlineStr"/>
      <c r="E32" s="3" t="inlineStr"/>
      <c r="F32" s="3" t="inlineStr">
        <is>
          <t>https://matvoc.nims.go.jp/entity/Q2139</t>
        </is>
      </c>
      <c r="G32" s="3" t="inlineStr">
        <is>
          <t>2022-07-11 04:36:42.734137+00</t>
        </is>
      </c>
    </row>
    <row r="33" ht="18.75" customHeight="1">
      <c r="A33" s="3" t="inlineStr">
        <is>
          <t>6a29a5dc-7c02-e843-e490-b8f15509c0b4</t>
        </is>
      </c>
      <c r="B33" s="3" t="inlineStr">
        <is>
          <t>イオンクロマトグラフ</t>
        </is>
      </c>
      <c r="C33" s="3" t="inlineStr">
        <is>
          <t>Ion Chromatograph</t>
        </is>
      </c>
      <c r="D33" s="3" t="inlineStr"/>
      <c r="E33" s="3" t="inlineStr"/>
      <c r="F33" s="3" t="inlineStr">
        <is>
          <t>https://matvoc.nims.go.jp/entity/Q2140</t>
        </is>
      </c>
      <c r="G33" s="3" t="inlineStr">
        <is>
          <t>2022-07-11 04:36:42.734137+00</t>
        </is>
      </c>
    </row>
    <row r="34" ht="18.75" customHeight="1">
      <c r="A34" s="3" t="inlineStr">
        <is>
          <t>1d41f686-4714-663a-92c6-3ada8ba627e1</t>
        </is>
      </c>
      <c r="B34" s="3" t="inlineStr">
        <is>
          <t>液体クロマトグラフ</t>
        </is>
      </c>
      <c r="C34" s="3" t="inlineStr">
        <is>
          <t>Lliquid-phase Chromatograph</t>
        </is>
      </c>
      <c r="D34" s="3" t="inlineStr"/>
      <c r="E34" s="3" t="inlineStr"/>
      <c r="F34" s="3" t="inlineStr">
        <is>
          <t>https://matvoc.nims.go.jp/entity/Q2141</t>
        </is>
      </c>
      <c r="G34" s="3" t="inlineStr">
        <is>
          <t>2022-07-11 04:36:42.734137+00</t>
        </is>
      </c>
    </row>
    <row r="35" ht="18.75" customHeight="1">
      <c r="A35" s="3" t="inlineStr">
        <is>
          <t>006788db-aa32-7fb2-1e48-6498db5f2a7e</t>
        </is>
      </c>
      <c r="B35" s="3" t="inlineStr">
        <is>
          <t>ゲル浸透クロマトグラフ</t>
        </is>
      </c>
      <c r="C35" s="3" t="inlineStr">
        <is>
          <t xml:space="preserve">Gel Permeation Chromatograph </t>
        </is>
      </c>
      <c r="D35" s="3" t="inlineStr"/>
      <c r="E35" s="3" t="inlineStr"/>
      <c r="F35" s="3" t="inlineStr">
        <is>
          <t>https://matvoc.nims.go.jp/entity/Q2142</t>
        </is>
      </c>
      <c r="G35" s="3" t="inlineStr">
        <is>
          <t>2022-07-11 04:36:42.734137+00</t>
        </is>
      </c>
    </row>
    <row r="36" ht="18.75" customHeight="1">
      <c r="A36" s="3" t="inlineStr">
        <is>
          <t>0db24958-a5ce-ecd0-48bd-597c4916a6e0</t>
        </is>
      </c>
      <c r="B36" s="3" t="inlineStr">
        <is>
          <t>分光</t>
        </is>
      </c>
      <c r="C36" s="3" t="inlineStr">
        <is>
          <t>Spectroscopy</t>
        </is>
      </c>
      <c r="D36" s="3" t="inlineStr"/>
      <c r="E36" s="3" t="inlineStr"/>
      <c r="F36" s="3" t="inlineStr">
        <is>
          <t>https://matvoc.nims.go.jp/entity/Q1928</t>
        </is>
      </c>
      <c r="G36" s="3" t="inlineStr">
        <is>
          <t>2022-07-11 04:36:42.734137+00</t>
        </is>
      </c>
    </row>
    <row r="37" ht="18.75" customHeight="1">
      <c r="A37" s="3" t="inlineStr">
        <is>
          <t>63aed514-076d-5d2c-aa3f-4dc1f50133e7</t>
        </is>
      </c>
      <c r="B37" s="3" t="inlineStr">
        <is>
          <t>赤外分光</t>
        </is>
      </c>
      <c r="C37" s="3" t="inlineStr">
        <is>
          <t>Infrared Spectroscopy</t>
        </is>
      </c>
      <c r="D37" s="3" t="inlineStr"/>
      <c r="E37" s="3" t="inlineStr"/>
      <c r="F37" s="3" t="inlineStr">
        <is>
          <t>https://matvoc.nims.go.jp/entity/Q2143</t>
        </is>
      </c>
      <c r="G37" s="3" t="inlineStr">
        <is>
          <t>2022-07-11 04:36:42.734137+00</t>
        </is>
      </c>
    </row>
    <row r="38" ht="18.75" customHeight="1">
      <c r="A38" s="3" t="inlineStr">
        <is>
          <t>1baaae64-280d-cb4e-8ecd-f96b2e725317</t>
        </is>
      </c>
      <c r="B38" s="3" t="inlineStr">
        <is>
          <t>紫外・可視分光</t>
        </is>
      </c>
      <c r="C38" s="3" t="inlineStr">
        <is>
          <t>Ultraviolet Visible Spectroscopy</t>
        </is>
      </c>
      <c r="D38" s="3" t="inlineStr"/>
      <c r="E38" s="3" t="inlineStr"/>
      <c r="F38" s="3" t="inlineStr">
        <is>
          <t>https://matvoc.nims.go.jp/entity/Q2144</t>
        </is>
      </c>
      <c r="G38" s="3" t="inlineStr">
        <is>
          <t>2022-07-11 04:36:42.734137+00</t>
        </is>
      </c>
    </row>
    <row r="39" ht="18.75" customHeight="1">
      <c r="A39" s="3" t="inlineStr">
        <is>
          <t>b1f666d2-857a-722a-29d3-c904516d319f</t>
        </is>
      </c>
      <c r="B39" s="3" t="inlineStr">
        <is>
          <t>紫外可視近赤外分光</t>
        </is>
      </c>
      <c r="C39" s="3" t="inlineStr">
        <is>
          <t>Ultraviolet Visible Near-Infrared Spectroscopy</t>
        </is>
      </c>
      <c r="D39" s="3" t="inlineStr"/>
      <c r="E39" s="3" t="inlineStr"/>
      <c r="F39" s="3" t="inlineStr">
        <is>
          <t>https://matvoc.nims.go.jp/entity/Q2145</t>
        </is>
      </c>
      <c r="G39" s="3" t="inlineStr">
        <is>
          <t>2022-07-11 04:36:42.734137+00</t>
        </is>
      </c>
    </row>
    <row r="40" ht="18.75" customHeight="1">
      <c r="A40" s="3" t="inlineStr">
        <is>
          <t>dc4954fe-6a80-4a2b-0ce1-daba0c6258d9</t>
        </is>
      </c>
      <c r="B40" s="3" t="inlineStr">
        <is>
          <t>近赤外分光光度計</t>
        </is>
      </c>
      <c r="C40" s="3" t="inlineStr">
        <is>
          <t>Nnear‐Infrared Spectroscopy</t>
        </is>
      </c>
      <c r="D40" s="3" t="inlineStr"/>
      <c r="E40" s="3" t="inlineStr"/>
      <c r="F40" s="3" t="inlineStr">
        <is>
          <t>https://matvoc.nims.go.jp/entity/Q2146</t>
        </is>
      </c>
      <c r="G40" s="3" t="inlineStr">
        <is>
          <t>2022-07-11 04:36:42.734137+00</t>
        </is>
      </c>
    </row>
    <row r="41" ht="18.75" customHeight="1">
      <c r="A41" s="3" t="inlineStr">
        <is>
          <t>727867d3-2b27-6fa8-dc2c-c5c673b27c45</t>
        </is>
      </c>
      <c r="B41" s="3" t="inlineStr">
        <is>
          <t>蛍光分光</t>
        </is>
      </c>
      <c r="C41" s="3" t="inlineStr">
        <is>
          <t>Flourescence Spectroscopy</t>
        </is>
      </c>
      <c r="D41" s="3" t="inlineStr"/>
      <c r="E41" s="3" t="inlineStr"/>
      <c r="F41" s="3" t="inlineStr">
        <is>
          <t>https://matvoc.nims.go.jp/entity/Q2147</t>
        </is>
      </c>
      <c r="G41" s="3" t="inlineStr">
        <is>
          <t>2022-07-11 04:36:42.734137+00</t>
        </is>
      </c>
    </row>
    <row r="42" ht="18.75" customHeight="1">
      <c r="A42" s="3" t="inlineStr">
        <is>
          <t>345bc288-717d-64eb-8219-6d91f7d9807e</t>
        </is>
      </c>
      <c r="B42" s="3" t="inlineStr">
        <is>
          <t>誘導結合プラズマ発光分光分析計</t>
        </is>
      </c>
      <c r="C42" s="3" t="inlineStr">
        <is>
          <t>Inductively Coupled Plasma Atomic Emission Spectroscopy</t>
        </is>
      </c>
      <c r="D42" s="3" t="inlineStr"/>
      <c r="E42" s="3" t="inlineStr"/>
      <c r="F42" s="3" t="inlineStr">
        <is>
          <t>https://matvoc.nims.go.jp/entity/Q2148</t>
        </is>
      </c>
      <c r="G42" s="3" t="inlineStr">
        <is>
          <t>2022-07-11 04:36:42.734137+00</t>
        </is>
      </c>
    </row>
    <row r="43" ht="18.75" customHeight="1">
      <c r="A43" s="3" t="inlineStr">
        <is>
          <t>1945b49e-f335-db9c-23f7-6907e2098512</t>
        </is>
      </c>
      <c r="B43" s="3" t="inlineStr">
        <is>
          <t>X線蛍光分光分析</t>
        </is>
      </c>
      <c r="C43" s="3" t="inlineStr">
        <is>
          <t>X-Ray Flourescence Spectroscopy</t>
        </is>
      </c>
      <c r="D43" s="3" t="inlineStr"/>
      <c r="E43" s="3" t="inlineStr"/>
      <c r="F43" s="3" t="inlineStr">
        <is>
          <t>https://matvoc.nims.go.jp/entity/Q2149</t>
        </is>
      </c>
      <c r="G43" s="3" t="inlineStr">
        <is>
          <t>2022-07-11 04:36:42.734137+00</t>
        </is>
      </c>
    </row>
    <row r="44" ht="18.75" customHeight="1">
      <c r="A44" s="3" t="inlineStr">
        <is>
          <t>518f5c41-a04f-2aeb-adf2-8a18f58bd2a0</t>
        </is>
      </c>
      <c r="B44" s="3" t="inlineStr">
        <is>
          <t>ラマン分光</t>
        </is>
      </c>
      <c r="C44" s="3" t="inlineStr">
        <is>
          <t xml:space="preserve">Raman Spectroscopy </t>
        </is>
      </c>
      <c r="D44" s="3" t="inlineStr"/>
      <c r="E44" s="3" t="inlineStr"/>
      <c r="F44" s="3" t="inlineStr">
        <is>
          <t>https://matvoc.nims.go.jp/entity/Q2150</t>
        </is>
      </c>
      <c r="G44" s="3" t="inlineStr">
        <is>
          <t>2022-07-11 04:36:42.734137+00</t>
        </is>
      </c>
    </row>
    <row r="45" ht="18.75" customHeight="1">
      <c r="A45" s="3" t="inlineStr">
        <is>
          <t>4e28347c-896b-aa1e-4cf7-63efe2fa6029</t>
        </is>
      </c>
      <c r="B45" s="3" t="inlineStr">
        <is>
          <t>円二色性分光</t>
        </is>
      </c>
      <c r="C45" s="3" t="inlineStr">
        <is>
          <t>Circular Dichroism</t>
        </is>
      </c>
      <c r="D45" s="3" t="inlineStr"/>
      <c r="E45" s="3" t="inlineStr"/>
      <c r="F45" s="3" t="inlineStr">
        <is>
          <t>https://matvoc.nims.go.jp/entity/Q2151</t>
        </is>
      </c>
      <c r="G45" s="3" t="inlineStr">
        <is>
          <t>2022-07-11 04:36:42.734137+00</t>
        </is>
      </c>
    </row>
    <row r="46" ht="18.75" customHeight="1">
      <c r="A46" s="3" t="inlineStr">
        <is>
          <t>ebe86ea4-de1c-521e-31e9-3d4e65949a8c</t>
        </is>
      </c>
      <c r="B46" s="3" t="inlineStr">
        <is>
          <t>X線吸収分光</t>
        </is>
      </c>
      <c r="C46" s="3" t="inlineStr">
        <is>
          <t xml:space="preserve">X-Ray Absorption Spectroscopy </t>
        </is>
      </c>
      <c r="D46" s="3" t="inlineStr"/>
      <c r="E46" s="3" t="inlineStr"/>
      <c r="F46" s="3" t="inlineStr">
        <is>
          <t>https://matvoc.nims.go.jp/entity/Q2152</t>
        </is>
      </c>
      <c r="G46" s="3" t="inlineStr">
        <is>
          <t>2022-07-11 04:36:42.734137+00</t>
        </is>
      </c>
    </row>
    <row r="47" ht="18.75" customHeight="1">
      <c r="A47" s="3" t="inlineStr">
        <is>
          <t>11d8693b-b689-60ea-048e-9424d9aae2b4</t>
        </is>
      </c>
      <c r="B47" s="3" t="inlineStr">
        <is>
          <t>X線発光分光</t>
        </is>
      </c>
      <c r="C47" s="3" t="inlineStr">
        <is>
          <t xml:space="preserve">X-Ray Emission Spectroscopy </t>
        </is>
      </c>
      <c r="D47" s="3" t="inlineStr"/>
      <c r="E47" s="3" t="inlineStr"/>
      <c r="F47" s="3" t="inlineStr">
        <is>
          <t>https://matvoc.nims.go.jp/entity/Q2153</t>
        </is>
      </c>
      <c r="G47" s="3" t="inlineStr">
        <is>
          <t>2022-07-11 04:36:42.734137+00</t>
        </is>
      </c>
    </row>
    <row r="48" ht="18.75" customHeight="1">
      <c r="A48" s="3" t="inlineStr">
        <is>
          <t>e9a6df00-6c58-9c03-1ca2-1947701c1464</t>
        </is>
      </c>
      <c r="B48" s="3" t="inlineStr">
        <is>
          <t>X線光電子分光</t>
        </is>
      </c>
      <c r="C48" s="3" t="inlineStr">
        <is>
          <t>X-Ray Photoelectron  Spectroscopy</t>
        </is>
      </c>
      <c r="D48" s="3" t="inlineStr"/>
      <c r="E48" s="3" t="inlineStr"/>
      <c r="F48" s="3" t="inlineStr">
        <is>
          <t>https://matvoc.nims.go.jp/entity/Q2154</t>
        </is>
      </c>
      <c r="G48" s="3" t="inlineStr">
        <is>
          <t>2022-07-11 04:36:42.734137+00</t>
        </is>
      </c>
    </row>
    <row r="49" ht="18.75" customHeight="1">
      <c r="A49" s="3" t="inlineStr">
        <is>
          <t>43c0ebe4-0942-5198-d390-ec2ef9cee594</t>
        </is>
      </c>
      <c r="B49" s="3" t="inlineStr">
        <is>
          <t>オージェ電子分光</t>
        </is>
      </c>
      <c r="C49" s="3" t="inlineStr">
        <is>
          <t>Auger Electron  Spectroscopy</t>
        </is>
      </c>
      <c r="D49" s="3" t="inlineStr"/>
      <c r="E49" s="3" t="inlineStr"/>
      <c r="F49" s="3" t="inlineStr">
        <is>
          <t>https://matvoc.nims.go.jp/entity/Q2155</t>
        </is>
      </c>
      <c r="G49" s="3" t="inlineStr">
        <is>
          <t>2022-07-11 04:36:42.734137+00</t>
        </is>
      </c>
    </row>
    <row r="50" ht="18.75" customHeight="1">
      <c r="A50" s="3" t="inlineStr">
        <is>
          <t>630c766d-e6e6-4b8d-6afd-586a8d1c2d5a</t>
        </is>
      </c>
      <c r="B50" s="3" t="inlineStr">
        <is>
          <t>光電子分光</t>
        </is>
      </c>
      <c r="C50" s="3" t="inlineStr">
        <is>
          <t>Photoemission Electron  Spectroscopy</t>
        </is>
      </c>
      <c r="D50" s="3" t="inlineStr"/>
      <c r="E50" s="3" t="inlineStr"/>
      <c r="F50" s="3" t="inlineStr">
        <is>
          <t>https://matvoc.nims.go.jp/entity/Q2156</t>
        </is>
      </c>
      <c r="G50" s="3" t="inlineStr">
        <is>
          <t>2022-07-11 04:36:42.734137+00</t>
        </is>
      </c>
    </row>
    <row r="51" ht="18.75" customHeight="1">
      <c r="A51" s="3" t="inlineStr">
        <is>
          <t>96880150-009f-73bc-0234-d249ec2d901c</t>
        </is>
      </c>
      <c r="B51" s="3" t="inlineStr">
        <is>
          <t>走査型X線顕微鏡</t>
        </is>
      </c>
      <c r="C51" s="3" t="inlineStr">
        <is>
          <t>Scanning X-Ray Microscope</t>
        </is>
      </c>
      <c r="D51" s="3" t="inlineStr"/>
      <c r="E51" s="3" t="inlineStr"/>
      <c r="F51" s="3" t="inlineStr">
        <is>
          <t>https://matvoc.nims.go.jp/entity/Q2157</t>
        </is>
      </c>
      <c r="G51" s="3" t="inlineStr">
        <is>
          <t>2022-07-11 04:36:42.734137+00</t>
        </is>
      </c>
    </row>
    <row r="52" ht="18.75" customHeight="1">
      <c r="A52" s="3" t="inlineStr">
        <is>
          <t>2deb6563-25c6-09f9-502b-ff52969f0cfb</t>
        </is>
      </c>
      <c r="B52" s="3" t="inlineStr">
        <is>
          <t>放射光</t>
        </is>
      </c>
      <c r="C52" s="3" t="inlineStr">
        <is>
          <t>Synchrotron Radiation</t>
        </is>
      </c>
      <c r="D52" s="3" t="inlineStr"/>
      <c r="E52" s="3" t="inlineStr"/>
      <c r="F52" s="3" t="inlineStr">
        <is>
          <t>https://matvoc.nims.go.jp/entity/Q2072</t>
        </is>
      </c>
      <c r="G52" s="3" t="inlineStr">
        <is>
          <t>2022-07-11 04:36:42.734137+00</t>
        </is>
      </c>
    </row>
    <row r="53" ht="18.75" customHeight="1">
      <c r="A53" s="3" t="inlineStr">
        <is>
          <t>dc19e030-501b-0e58-ee46-8c71ecad0d03</t>
        </is>
      </c>
      <c r="B53" s="3" t="inlineStr">
        <is>
          <t>硬X線光電子分光法</t>
        </is>
      </c>
      <c r="C53" s="3" t="inlineStr">
        <is>
          <t>HardX-ray Photoelectron Spectroscopy</t>
        </is>
      </c>
      <c r="D53" s="3" t="inlineStr"/>
      <c r="E53" s="3" t="inlineStr"/>
      <c r="F53" s="3" t="inlineStr">
        <is>
          <t>https://matvoc.nims.go.jp/entity/Q2158</t>
        </is>
      </c>
      <c r="G53" s="3" t="inlineStr">
        <is>
          <t>2022-07-11 04:36:42.734137+00</t>
        </is>
      </c>
    </row>
    <row r="54" ht="18.75" customHeight="1">
      <c r="A54" s="3" t="inlineStr">
        <is>
          <t>aedb7f73-6b6c-a8da-db2a-86dcc260c152</t>
        </is>
      </c>
      <c r="B54" s="3" t="inlineStr">
        <is>
          <t>装置・広域X線吸収微細構造</t>
        </is>
      </c>
      <c r="C54" s="3" t="inlineStr">
        <is>
          <t>Extended X-ray Absorption Fine Structure</t>
        </is>
      </c>
      <c r="D54" s="3" t="inlineStr"/>
      <c r="E54" s="3" t="inlineStr"/>
      <c r="F54" s="3" t="inlineStr">
        <is>
          <t>https://matvoc.nims.go.jp/entity/Q2159</t>
        </is>
      </c>
      <c r="G54" s="3" t="inlineStr">
        <is>
          <t>2022-07-11 04:36:42.734137+00</t>
        </is>
      </c>
    </row>
    <row r="55" ht="18.75" customHeight="1">
      <c r="A55" s="3" t="inlineStr">
        <is>
          <t>34d49688-f97b-ddeb-422a-3ad4643524ea</t>
        </is>
      </c>
      <c r="B55" s="3" t="inlineStr">
        <is>
          <t>X線吸収端近傍構造</t>
        </is>
      </c>
      <c r="C55" s="3" t="inlineStr">
        <is>
          <t>X-ray Absorption Near Edge Structure</t>
        </is>
      </c>
      <c r="D55" s="3" t="inlineStr"/>
      <c r="E55" s="3" t="inlineStr"/>
      <c r="F55" s="3" t="inlineStr">
        <is>
          <t>https://matvoc.nims.go.jp/entity/Q2160</t>
        </is>
      </c>
      <c r="G55" s="3" t="inlineStr">
        <is>
          <t>2022-07-11 04:36:42.734137+00</t>
        </is>
      </c>
    </row>
    <row r="56" ht="18.75" customHeight="1">
      <c r="A56" s="3" t="inlineStr">
        <is>
          <t>09f70b65-778d-c5b2-efc4-f81ff4446a69</t>
        </is>
      </c>
      <c r="B56" s="3" t="inlineStr">
        <is>
          <t>X線回折装置(放射光)</t>
        </is>
      </c>
      <c r="C56" s="3" t="inlineStr">
        <is>
          <t>X-ray Diffraction-Synchrotron Radiation</t>
        </is>
      </c>
      <c r="D56" s="3" t="inlineStr"/>
      <c r="E56" s="3" t="inlineStr"/>
      <c r="F56" s="3" t="inlineStr">
        <is>
          <t>https://matvoc.nims.go.jp/entity/Q2161</t>
        </is>
      </c>
      <c r="G56" s="3" t="inlineStr">
        <is>
          <t>2022-07-11 04:36:42.734137+00</t>
        </is>
      </c>
    </row>
    <row r="57" ht="18.75" customHeight="1">
      <c r="A57" s="3" t="inlineStr">
        <is>
          <t>ce2101b1-1ab5-68bf-e2b5-8c1c74d43703</t>
        </is>
      </c>
      <c r="B57" s="3" t="inlineStr">
        <is>
          <t>質量分析</t>
        </is>
      </c>
      <c r="C57" s="3" t="inlineStr">
        <is>
          <t>Mass Spectrometer</t>
        </is>
      </c>
      <c r="D57" s="3" t="inlineStr"/>
      <c r="E57" s="3" t="inlineStr"/>
      <c r="F57" s="3" t="inlineStr">
        <is>
          <t>https://matvoc.nims.go.jp/entity/Q2073</t>
        </is>
      </c>
      <c r="G57" s="3" t="inlineStr">
        <is>
          <t>2022-07-11 04:36:42.734137+00</t>
        </is>
      </c>
    </row>
    <row r="58" ht="18.75" customHeight="1">
      <c r="A58" s="3" t="inlineStr">
        <is>
          <t>c2d31344-4058-283e-1836-7cc6c43adc32</t>
        </is>
      </c>
      <c r="B58" s="3" t="inlineStr">
        <is>
          <t xml:space="preserve">二重収束質量分析　</t>
        </is>
      </c>
      <c r="C58" s="3" t="inlineStr">
        <is>
          <t>Double-Focusing Mass Spectrometer</t>
        </is>
      </c>
      <c r="D58" s="3" t="inlineStr"/>
      <c r="E58" s="3" t="inlineStr"/>
      <c r="F58" s="3" t="inlineStr">
        <is>
          <t>https://matvoc.nims.go.jp/entity/Q2162</t>
        </is>
      </c>
      <c r="G58" s="3" t="inlineStr">
        <is>
          <t>2022-07-11 04:36:42.734137+00</t>
        </is>
      </c>
    </row>
    <row r="59" ht="18.75" customHeight="1">
      <c r="A59" s="3" t="inlineStr">
        <is>
          <t>d0fe9e27-b791-7f92-c555-571e8d5bd634</t>
        </is>
      </c>
      <c r="B59" s="3" t="inlineStr">
        <is>
          <t xml:space="preserve">四重極質量分析　</t>
        </is>
      </c>
      <c r="C59" s="3" t="inlineStr">
        <is>
          <t>Quadrupole Mass Analyzer; Quadrupole Mass Spectrometer</t>
        </is>
      </c>
      <c r="D59" s="3" t="inlineStr"/>
      <c r="E59" s="3" t="inlineStr"/>
      <c r="F59" s="3" t="inlineStr">
        <is>
          <t>https://matvoc.nims.go.jp/entity/Q2163</t>
        </is>
      </c>
      <c r="G59" s="3" t="inlineStr">
        <is>
          <t>2022-07-11 04:36:42.734137+00</t>
        </is>
      </c>
    </row>
    <row r="60" ht="18.75" customHeight="1">
      <c r="A60" s="3" t="inlineStr">
        <is>
          <t>26a161bf-d73a-f7cc-43ab-990c6a24b509</t>
        </is>
      </c>
      <c r="B60" s="3" t="inlineStr">
        <is>
          <t xml:space="preserve">飛行時間質量分析　</t>
        </is>
      </c>
      <c r="C60" s="3" t="inlineStr">
        <is>
          <t>Time-Of-Flight Mass Spectrometer</t>
        </is>
      </c>
      <c r="D60" s="3" t="inlineStr"/>
      <c r="E60" s="3" t="inlineStr"/>
      <c r="F60" s="3" t="inlineStr">
        <is>
          <t>https://matvoc.nims.go.jp/entity/Q2164</t>
        </is>
      </c>
      <c r="G60" s="3" t="inlineStr">
        <is>
          <t>2022-07-11 04:36:42.734137+00</t>
        </is>
      </c>
    </row>
    <row r="61" ht="18.75" customHeight="1">
      <c r="A61" s="3" t="inlineStr">
        <is>
          <t>65c88d6e-8d21-1c2d-eb90-0b702a886310</t>
        </is>
      </c>
      <c r="B61" s="3" t="inlineStr">
        <is>
          <t xml:space="preserve">イオントラップ質量分析　</t>
        </is>
      </c>
      <c r="C61" s="3" t="inlineStr">
        <is>
          <t>Ion Trap Mass Spectrometer</t>
        </is>
      </c>
      <c r="D61" s="3" t="inlineStr"/>
      <c r="E61" s="3" t="inlineStr"/>
      <c r="F61" s="3" t="inlineStr">
        <is>
          <t>https://matvoc.nims.go.jp/entity/Q2165</t>
        </is>
      </c>
      <c r="G61" s="3" t="inlineStr">
        <is>
          <t>2022-07-11 04:36:42.734137+00</t>
        </is>
      </c>
    </row>
    <row r="62" ht="18.75" customHeight="1">
      <c r="A62" s="3" t="inlineStr">
        <is>
          <t>94516365-6ff5-addb-4758-dbcaafb57e2c</t>
        </is>
      </c>
      <c r="B62" s="3" t="inlineStr">
        <is>
          <t xml:space="preserve">フーリエ変換イオンサイクロトロン共鳴質量分析　</t>
        </is>
      </c>
      <c r="C62" s="3" t="inlineStr">
        <is>
          <t>Fourier Transfom Ion Cyclotron Resonance Mass Spectrometer</t>
        </is>
      </c>
      <c r="D62" s="3" t="inlineStr"/>
      <c r="E62" s="3" t="inlineStr"/>
      <c r="F62" s="3" t="inlineStr">
        <is>
          <t>https://matvoc.nims.go.jp/entity/Q2166</t>
        </is>
      </c>
      <c r="G62" s="3" t="inlineStr">
        <is>
          <t>2022-07-11 04:36:42.734137+00</t>
        </is>
      </c>
    </row>
    <row r="63" ht="18.75" customHeight="1">
      <c r="A63" s="3" t="inlineStr">
        <is>
          <t>a8be5387-4b9f-5249-525c-a80cedd6469f</t>
        </is>
      </c>
      <c r="B63" s="3" t="inlineStr">
        <is>
          <t xml:space="preserve">飛行時間二次イオン質量分析　</t>
        </is>
      </c>
      <c r="C63" s="3" t="inlineStr">
        <is>
          <t>Time-Of-Flight Secondary Ion Mass Spectrometry</t>
        </is>
      </c>
      <c r="D63" s="3" t="inlineStr"/>
      <c r="E63" s="3" t="inlineStr"/>
      <c r="F63" s="3" t="inlineStr">
        <is>
          <t>https://matvoc.nims.go.jp/entity/Q2167</t>
        </is>
      </c>
      <c r="G63" s="3" t="inlineStr">
        <is>
          <t>2022-07-11 04:36:42.734137+00</t>
        </is>
      </c>
    </row>
    <row r="64" ht="18.75" customHeight="1">
      <c r="A64" s="3" t="inlineStr">
        <is>
          <t>f96f9f50-ea2d-4442-23ff-d4ab8b04f49e</t>
        </is>
      </c>
      <c r="B64" s="3" t="inlineStr">
        <is>
          <t xml:space="preserve">誘導結合プラズマ質量分析　</t>
        </is>
      </c>
      <c r="C64" s="3" t="inlineStr">
        <is>
          <t>Inductively Coupled Plasma Mass Spectrometry</t>
        </is>
      </c>
      <c r="D64" s="3" t="inlineStr"/>
      <c r="E64" s="3" t="inlineStr"/>
      <c r="F64" s="3" t="inlineStr">
        <is>
          <t>https://matvoc.nims.go.jp/entity/Q2168</t>
        </is>
      </c>
      <c r="G64" s="3" t="inlineStr">
        <is>
          <t>2022-07-11 04:36:42.734137+00</t>
        </is>
      </c>
    </row>
    <row r="65" ht="18.75" customHeight="1">
      <c r="A65" s="3" t="inlineStr">
        <is>
          <t>cac4338b-b084-2347-7df0-2f2a0dfd4e71</t>
        </is>
      </c>
      <c r="B65" s="3" t="inlineStr">
        <is>
          <t>マトリックス支援レーザー脱離イオン化質量分析</t>
        </is>
      </c>
      <c r="C65" s="3" t="inlineStr">
        <is>
          <t>Maldi-Tof Mass Spectrometer</t>
        </is>
      </c>
      <c r="D65" s="3" t="inlineStr"/>
      <c r="E65" s="3" t="inlineStr"/>
      <c r="F65" s="3" t="inlineStr">
        <is>
          <t>https://matvoc.nims.go.jp/entity/Q2169</t>
        </is>
      </c>
      <c r="G65" s="3" t="inlineStr">
        <is>
          <t>2022-07-11 04:36:42.734137+00</t>
        </is>
      </c>
    </row>
    <row r="66" ht="18.75" customHeight="1">
      <c r="A66" s="3" t="inlineStr">
        <is>
          <t>cf32eec6-fc80-ed17-0075-0b131de1a106</t>
        </is>
      </c>
      <c r="B66" s="3" t="inlineStr">
        <is>
          <t>二次イオン質量分析</t>
        </is>
      </c>
      <c r="C66" s="3" t="inlineStr">
        <is>
          <t>Secondary Ion Mass Spectrometer</t>
        </is>
      </c>
      <c r="D66" s="3" t="inlineStr"/>
      <c r="E66" s="3" t="inlineStr"/>
      <c r="F66" s="3" t="inlineStr">
        <is>
          <t>https://matvoc.nims.go.jp/entity/Q2170</t>
        </is>
      </c>
      <c r="G66" s="3" t="inlineStr">
        <is>
          <t>2022-07-11 04:36:42.734137+00</t>
        </is>
      </c>
    </row>
    <row r="67" ht="18.75" customHeight="1">
      <c r="A67" s="3" t="inlineStr">
        <is>
          <t>522a888f-49a3-994b-f15d-c5e32d9a87ec</t>
        </is>
      </c>
      <c r="B67" s="3" t="inlineStr">
        <is>
          <t>直接イオン化質量分析</t>
        </is>
      </c>
      <c r="C67" s="3" t="inlineStr">
        <is>
          <t>Direct Analysis In Real Time Mass Spectrometer</t>
        </is>
      </c>
      <c r="D67" s="3" t="inlineStr"/>
      <c r="E67" s="3" t="inlineStr"/>
      <c r="F67" s="3" t="inlineStr">
        <is>
          <t>https://matvoc.nims.go.jp/entity/Q2171</t>
        </is>
      </c>
      <c r="G67" s="3" t="inlineStr">
        <is>
          <t>2022-07-11 04:36:42.734137+00</t>
        </is>
      </c>
    </row>
    <row r="68" ht="18.75" customHeight="1">
      <c r="A68" s="3" t="inlineStr">
        <is>
          <t>2783b277-a2e2-4053-306b-ab5c46d07f64</t>
        </is>
      </c>
      <c r="B68" s="3" t="inlineStr">
        <is>
          <t xml:space="preserve">ガスクロマトグラフ質量分析　</t>
        </is>
      </c>
      <c r="C68" s="3" t="inlineStr">
        <is>
          <t xml:space="preserve">Gas Chromatography - Mass Spectorometer </t>
        </is>
      </c>
      <c r="D68" s="3" t="inlineStr"/>
      <c r="E68" s="3" t="inlineStr"/>
      <c r="F68" s="3" t="inlineStr">
        <is>
          <t>https://matvoc.nims.go.jp/entity/Q2172</t>
        </is>
      </c>
      <c r="G68" s="3" t="inlineStr">
        <is>
          <t>2022-07-11 04:36:42.734137+00</t>
        </is>
      </c>
    </row>
    <row r="69" ht="18.75" customHeight="1">
      <c r="A69" s="3" t="inlineStr">
        <is>
          <t>3c727b19-4b2e-d7e3-45c3-a41c6f7ee696</t>
        </is>
      </c>
      <c r="B69" s="3" t="inlineStr">
        <is>
          <t xml:space="preserve">液体クロマトグラフ質量分析　</t>
        </is>
      </c>
      <c r="C69" s="3" t="inlineStr">
        <is>
          <t xml:space="preserve">Liquid Chromatography - Mass Spectorometer </t>
        </is>
      </c>
      <c r="D69" s="3" t="inlineStr"/>
      <c r="E69" s="3" t="inlineStr"/>
      <c r="F69" s="3" t="inlineStr">
        <is>
          <t>https://matvoc.nims.go.jp/entity/Q2173</t>
        </is>
      </c>
      <c r="G69" s="3" t="inlineStr">
        <is>
          <t>2022-07-11 04:36:42.734137+00</t>
        </is>
      </c>
    </row>
    <row r="70" ht="18.75" customHeight="1">
      <c r="A70" s="3" t="inlineStr">
        <is>
          <t>0ea8cfd2-8575-3a57-1de7-dff3b783c539</t>
        </is>
      </c>
      <c r="B70" s="3" t="inlineStr">
        <is>
          <t>回折・散乱</t>
        </is>
      </c>
      <c r="C70" s="3" t="inlineStr">
        <is>
          <t xml:space="preserve">Scattering &amp; Diffraction </t>
        </is>
      </c>
      <c r="D70" s="3" t="inlineStr"/>
      <c r="E70" s="3" t="inlineStr"/>
      <c r="F70" s="3" t="inlineStr">
        <is>
          <t>https://matvoc.nims.go.jp/entity/Q2074</t>
        </is>
      </c>
      <c r="G70" s="3" t="inlineStr">
        <is>
          <t>2022-07-11 04:36:42.734137+00</t>
        </is>
      </c>
    </row>
    <row r="71" ht="18.75" customHeight="1">
      <c r="A71" s="3" t="inlineStr">
        <is>
          <t>eed4afb5-4780-a4a2-b97a-c2135bdfad63</t>
        </is>
      </c>
      <c r="B71" s="3" t="inlineStr">
        <is>
          <t>X線回折装置</t>
        </is>
      </c>
      <c r="C71" s="3" t="inlineStr">
        <is>
          <t>X-Ray Diffraction</t>
        </is>
      </c>
      <c r="D71" s="3" t="inlineStr"/>
      <c r="E71" s="3" t="inlineStr"/>
      <c r="F71" s="3" t="inlineStr">
        <is>
          <t>https://matvoc.nims.go.jp/entity/Q2263</t>
        </is>
      </c>
      <c r="G71" s="3" t="inlineStr">
        <is>
          <t>2022-07-11 04:36:42.734137+00</t>
        </is>
      </c>
    </row>
    <row r="72" ht="18.75" customHeight="1">
      <c r="A72" s="3" t="inlineStr">
        <is>
          <t>387d91ec-6bf5-07d8-a688-7b3741863fff</t>
        </is>
      </c>
      <c r="B72" s="3" t="inlineStr">
        <is>
          <t>単結晶X線回折</t>
        </is>
      </c>
      <c r="C72" s="3" t="inlineStr">
        <is>
          <t>Single Crystal X-Ray Diffraction</t>
        </is>
      </c>
      <c r="D72" s="3" t="inlineStr"/>
      <c r="E72" s="3" t="inlineStr"/>
      <c r="F72" s="3" t="inlineStr">
        <is>
          <t>https://matvoc.nims.go.jp/entity/Q2174</t>
        </is>
      </c>
      <c r="G72" s="3" t="inlineStr">
        <is>
          <t>2022-07-11 04:36:42.734137+00</t>
        </is>
      </c>
    </row>
    <row r="73" ht="18.75" customHeight="1">
      <c r="A73" s="3" t="inlineStr">
        <is>
          <t>b99e8b5a-a4be-8c6b-2e79-963ff6d69cf8</t>
        </is>
      </c>
      <c r="B73" s="3" t="inlineStr">
        <is>
          <t>中性子回折</t>
        </is>
      </c>
      <c r="C73" s="3" t="inlineStr">
        <is>
          <t>Neutron Diffraction</t>
        </is>
      </c>
      <c r="D73" s="3" t="inlineStr"/>
      <c r="E73" s="3" t="inlineStr"/>
      <c r="F73" s="3" t="inlineStr">
        <is>
          <t>https://matvoc.nims.go.jp/entity/Q2175</t>
        </is>
      </c>
      <c r="G73" s="3" t="inlineStr">
        <is>
          <t>2022-07-11 04:36:42.734137+00</t>
        </is>
      </c>
    </row>
    <row r="74" ht="18.75" customHeight="1">
      <c r="A74" s="3" t="inlineStr">
        <is>
          <t>ba0f4495-a44a-f197-00b6-fe7a453f11ef</t>
        </is>
      </c>
      <c r="B74" s="3" t="inlineStr">
        <is>
          <t>X線トポグラフィー</t>
        </is>
      </c>
      <c r="C74" s="3" t="inlineStr">
        <is>
          <t>X-Ray Topography</t>
        </is>
      </c>
      <c r="D74" s="3" t="inlineStr"/>
      <c r="E74" s="3" t="inlineStr"/>
      <c r="F74" s="3" t="inlineStr">
        <is>
          <t>https://matvoc.nims.go.jp/entity/Q2176</t>
        </is>
      </c>
      <c r="G74" s="3" t="inlineStr">
        <is>
          <t>2022-07-11 04:36:42.734137+00</t>
        </is>
      </c>
    </row>
    <row r="75" ht="18.75" customHeight="1">
      <c r="A75" s="3" t="inlineStr">
        <is>
          <t>9c87dc8d-356e-354e-f95e-b90175cf5331</t>
        </is>
      </c>
      <c r="B75" s="3" t="inlineStr">
        <is>
          <t>X線マイクロトモグラフィー</t>
        </is>
      </c>
      <c r="C75" s="3" t="inlineStr">
        <is>
          <t>X-Ray Microtomography</t>
        </is>
      </c>
      <c r="D75" s="3" t="inlineStr"/>
      <c r="E75" s="3" t="inlineStr"/>
      <c r="F75" s="3" t="inlineStr">
        <is>
          <t>https://matvoc.nims.go.jp/entity/Q2177</t>
        </is>
      </c>
      <c r="G75" s="3" t="inlineStr">
        <is>
          <t>2022-07-11 04:36:42.734137+00</t>
        </is>
      </c>
    </row>
    <row r="76" ht="18.75" customHeight="1">
      <c r="A76" s="3" t="inlineStr">
        <is>
          <t>22135010-ea10-7975-4342-e9d986d90026</t>
        </is>
      </c>
      <c r="B76" s="3" t="inlineStr">
        <is>
          <t>ラザフォード後方散乱</t>
        </is>
      </c>
      <c r="C76" s="3" t="inlineStr">
        <is>
          <t>Rutherford Backscattering Spectrometry</t>
        </is>
      </c>
      <c r="D76" s="3" t="inlineStr"/>
      <c r="E76" s="3" t="inlineStr"/>
      <c r="F76" s="3" t="inlineStr">
        <is>
          <t>https://matvoc.nims.go.jp/entity/Q2178</t>
        </is>
      </c>
      <c r="G76" s="3" t="inlineStr">
        <is>
          <t>2022-07-11 04:36:42.734137+00</t>
        </is>
      </c>
    </row>
    <row r="77" ht="18.75" customHeight="1">
      <c r="A77" s="3" t="inlineStr">
        <is>
          <t>8a92e317-dbbd-f9f8-c6bf-1ee6979ed197</t>
        </is>
      </c>
      <c r="B77" s="3" t="inlineStr">
        <is>
          <t>電子回折</t>
        </is>
      </c>
      <c r="C77" s="3" t="inlineStr">
        <is>
          <t>Electron Diffraction</t>
        </is>
      </c>
      <c r="D77" s="3" t="inlineStr"/>
      <c r="E77" s="3" t="inlineStr"/>
      <c r="F77" s="3" t="inlineStr">
        <is>
          <t>https://matvoc.nims.go.jp/entity/Q2179</t>
        </is>
      </c>
      <c r="G77" s="3" t="inlineStr">
        <is>
          <t>2022-07-11 04:36:42.734137+00</t>
        </is>
      </c>
    </row>
    <row r="78" ht="18.75" customHeight="1">
      <c r="A78" s="3" t="inlineStr">
        <is>
          <t>b93499a7-88e3-c519-1cf1-c56343d946c6</t>
        </is>
      </c>
      <c r="B78" s="3" t="inlineStr">
        <is>
          <t>磁気特性</t>
        </is>
      </c>
      <c r="C78" s="3" t="inlineStr">
        <is>
          <t>Magnetic Characteristic</t>
        </is>
      </c>
      <c r="D78" s="3" t="inlineStr"/>
      <c r="E78" s="3" t="inlineStr"/>
      <c r="F78" s="3" t="inlineStr">
        <is>
          <t>https://matvoc.nims.go.jp/entity/Q2075</t>
        </is>
      </c>
      <c r="G78" s="3" t="inlineStr">
        <is>
          <t>2022-07-11 04:36:42.734137+00</t>
        </is>
      </c>
    </row>
    <row r="79" ht="18.75" customHeight="1">
      <c r="A79" s="3" t="inlineStr">
        <is>
          <t>f842bcb7-d862-0176-4779-ce50cecdce28</t>
        </is>
      </c>
      <c r="B79" s="3" t="inlineStr">
        <is>
          <t>磁気特性測定システム</t>
        </is>
      </c>
      <c r="C79" s="3" t="inlineStr">
        <is>
          <t>Magnetic Property Measurement System</t>
        </is>
      </c>
      <c r="D79" s="3" t="inlineStr"/>
      <c r="E79" s="3" t="inlineStr"/>
      <c r="F79" s="3" t="inlineStr">
        <is>
          <t>https://matvoc.nims.go.jp/entity/Q2180</t>
        </is>
      </c>
      <c r="G79" s="3" t="inlineStr">
        <is>
          <t>2022-07-11 04:36:42.734137+00</t>
        </is>
      </c>
    </row>
    <row r="80" ht="18.75" customHeight="1">
      <c r="A80" s="3" t="inlineStr">
        <is>
          <t>ebb35844-3fe5-b4e1-37b0-a728e1e4c56b</t>
        </is>
      </c>
      <c r="B80" s="3" t="inlineStr">
        <is>
          <t>物理特性測定装置</t>
        </is>
      </c>
      <c r="C80" s="3" t="inlineStr">
        <is>
          <t>Physical Property Measurement System</t>
        </is>
      </c>
      <c r="D80" s="3" t="inlineStr"/>
      <c r="E80" s="3" t="inlineStr"/>
      <c r="F80" s="3" t="inlineStr">
        <is>
          <t>https://matvoc.nims.go.jp/entity/Q2181</t>
        </is>
      </c>
      <c r="G80" s="3" t="inlineStr">
        <is>
          <t>2022-07-11 04:36:42.734137+00</t>
        </is>
      </c>
    </row>
    <row r="81" ht="18.75" customHeight="1">
      <c r="A81" s="3" t="inlineStr">
        <is>
          <t>e0ba0414-6e5c-0b09-cf71-dcef51e0ae2d</t>
        </is>
      </c>
      <c r="B81" s="3" t="inlineStr">
        <is>
          <t>振動試料型磁束計</t>
        </is>
      </c>
      <c r="C81" s="3" t="inlineStr">
        <is>
          <t>Vibrating Sample Magnetometer</t>
        </is>
      </c>
      <c r="D81" s="3" t="inlineStr"/>
      <c r="E81" s="3" t="inlineStr"/>
      <c r="F81" s="3" t="inlineStr">
        <is>
          <t>https://matvoc.nims.go.jp/entity/Q2182</t>
        </is>
      </c>
      <c r="G81" s="3" t="inlineStr">
        <is>
          <t>2022-07-11 04:36:42.734137+00</t>
        </is>
      </c>
    </row>
    <row r="82" ht="18.75" customHeight="1">
      <c r="A82" s="3" t="inlineStr">
        <is>
          <t>7cb1e759-553f-0877-e14e-19f6bf968bb0</t>
        </is>
      </c>
      <c r="B82" s="3" t="inlineStr">
        <is>
          <t>バイオ装置</t>
        </is>
      </c>
      <c r="C82" s="3" t="inlineStr">
        <is>
          <t>Biological</t>
        </is>
      </c>
      <c r="D82" s="3" t="inlineStr"/>
      <c r="E82" s="3" t="inlineStr"/>
      <c r="F82" s="3" t="inlineStr">
        <is>
          <t>https://matvoc.nims.go.jp/entity/Q2076</t>
        </is>
      </c>
      <c r="G82" s="3" t="inlineStr">
        <is>
          <t>2022-07-11 04:36:42.734137+00</t>
        </is>
      </c>
    </row>
    <row r="83" ht="18.75" customHeight="1">
      <c r="A83" s="3" t="inlineStr">
        <is>
          <t>92f858fb-2cc4-769b-c70e-3cf2932d471f</t>
        </is>
      </c>
      <c r="B83" s="3" t="inlineStr">
        <is>
          <t>リアルタイムPCR装置</t>
        </is>
      </c>
      <c r="C83" s="3" t="inlineStr">
        <is>
          <t>Real-Time PCR</t>
        </is>
      </c>
      <c r="D83" s="3" t="inlineStr"/>
      <c r="E83" s="3" t="inlineStr"/>
      <c r="F83" s="3" t="inlineStr">
        <is>
          <t>https://matvoc.nims.go.jp/entity/Q2183</t>
        </is>
      </c>
      <c r="G83" s="3" t="inlineStr">
        <is>
          <t>2022-07-11 04:36:42.734137+00</t>
        </is>
      </c>
    </row>
    <row r="84" ht="18.75" customHeight="1">
      <c r="A84" s="3" t="inlineStr">
        <is>
          <t>66afb0dd-c2ef-d420-134b-28044b99140f</t>
        </is>
      </c>
      <c r="B84" s="3" t="inlineStr">
        <is>
          <t>PCR装置</t>
        </is>
      </c>
      <c r="C84" s="3" t="inlineStr">
        <is>
          <t>PCR</t>
        </is>
      </c>
      <c r="D84" s="3" t="inlineStr"/>
      <c r="E84" s="3" t="inlineStr"/>
      <c r="F84" s="3" t="inlineStr">
        <is>
          <t>https://matvoc.nims.go.jp/entity/Q2184</t>
        </is>
      </c>
      <c r="G84" s="3" t="inlineStr">
        <is>
          <t>2022-07-11 04:36:42.734137+00</t>
        </is>
      </c>
    </row>
    <row r="85" ht="18.75" customHeight="1">
      <c r="A85" s="3" t="inlineStr">
        <is>
          <t>4722490b-fa74-6d8a-d0a7-d41d16978e1f</t>
        </is>
      </c>
      <c r="B85" s="3" t="inlineStr">
        <is>
          <t>表面プラズモン共鳴装置</t>
        </is>
      </c>
      <c r="C85" s="3" t="inlineStr">
        <is>
          <t>Surface Plasmon Resonance (SPR)</t>
        </is>
      </c>
      <c r="D85" s="3" t="inlineStr"/>
      <c r="E85" s="3" t="inlineStr"/>
      <c r="F85" s="3" t="inlineStr">
        <is>
          <t>https://matvoc.nims.go.jp/entity/Q2185</t>
        </is>
      </c>
      <c r="G85" s="3" t="inlineStr">
        <is>
          <t>2022-07-11 04:36:42.734137+00</t>
        </is>
      </c>
    </row>
    <row r="86" ht="18.75" customHeight="1">
      <c r="A86" s="3" t="inlineStr">
        <is>
          <t>a15f8bd4-abe0-7e09-14eb-6a6ee6e89053</t>
        </is>
      </c>
      <c r="B86" s="3" t="inlineStr">
        <is>
          <t>プレートリーダー</t>
        </is>
      </c>
      <c r="C86" s="3" t="inlineStr">
        <is>
          <t>Plate Reader</t>
        </is>
      </c>
      <c r="D86" s="3" t="inlineStr"/>
      <c r="E86" s="3" t="inlineStr"/>
      <c r="F86" s="3" t="inlineStr">
        <is>
          <t>https://matvoc.nims.go.jp/entity/Q2186</t>
        </is>
      </c>
      <c r="G86" s="3" t="inlineStr">
        <is>
          <t>2022-07-11 04:36:42.734137+00</t>
        </is>
      </c>
    </row>
    <row r="87" ht="18.75" customHeight="1">
      <c r="A87" s="3" t="inlineStr">
        <is>
          <t>5455ac92-6dd7-74b7-7433-3f06a4aeac1e</t>
        </is>
      </c>
      <c r="B87" s="3" t="inlineStr">
        <is>
          <t>レーザースキャナー</t>
        </is>
      </c>
      <c r="C87" s="3" t="inlineStr">
        <is>
          <t>Laser Scanner</t>
        </is>
      </c>
      <c r="D87" s="3" t="inlineStr"/>
      <c r="E87" s="3" t="inlineStr"/>
      <c r="F87" s="3" t="inlineStr">
        <is>
          <t>https://matvoc.nims.go.jp/entity/Q2187</t>
        </is>
      </c>
      <c r="G87" s="3" t="inlineStr">
        <is>
          <t>2022-07-11 04:36:42.734137+00</t>
        </is>
      </c>
    </row>
    <row r="88" ht="18.75" customHeight="1">
      <c r="A88" s="3" t="inlineStr">
        <is>
          <t>3af82f29-b662-7a07-b753-83a033c828b1</t>
        </is>
      </c>
      <c r="B88" s="3" t="inlineStr">
        <is>
          <t>フローサイトメトリー</t>
        </is>
      </c>
      <c r="C88" s="3" t="inlineStr">
        <is>
          <t>Flow Cytometry</t>
        </is>
      </c>
      <c r="D88" s="3" t="inlineStr"/>
      <c r="E88" s="3" t="inlineStr"/>
      <c r="F88" s="3" t="inlineStr">
        <is>
          <t>https://matvoc.nims.go.jp/entity/Q2188</t>
        </is>
      </c>
      <c r="G88" s="3" t="inlineStr">
        <is>
          <t>2022-07-11 04:36:42.734137+00</t>
        </is>
      </c>
    </row>
    <row r="89" ht="18.75" customHeight="1">
      <c r="A89" s="3" t="inlineStr">
        <is>
          <t>659e8be1-701b-413c-8eb3-3988f050cddb</t>
        </is>
      </c>
      <c r="B89" s="3" t="inlineStr">
        <is>
          <t>セルソーター</t>
        </is>
      </c>
      <c r="C89" s="3" t="inlineStr">
        <is>
          <t>Cell Sorter</t>
        </is>
      </c>
      <c r="D89" s="3" t="inlineStr"/>
      <c r="E89" s="3" t="inlineStr"/>
      <c r="F89" s="3" t="inlineStr">
        <is>
          <t>https://matvoc.nims.go.jp/entity/Q2189</t>
        </is>
      </c>
      <c r="G89" s="3" t="inlineStr">
        <is>
          <t>2022-07-11 04:36:42.734137+00</t>
        </is>
      </c>
    </row>
    <row r="90" ht="18.75" customHeight="1">
      <c r="A90" s="3" t="inlineStr">
        <is>
          <t>f2a18d7c-65ff-67c5-982e-3413882e7db8</t>
        </is>
      </c>
      <c r="B90" s="3" t="inlineStr">
        <is>
          <t>電気泳動装置</t>
        </is>
      </c>
      <c r="C90" s="3" t="inlineStr">
        <is>
          <t>Electrophoresis</t>
        </is>
      </c>
      <c r="D90" s="3" t="inlineStr"/>
      <c r="E90" s="3" t="inlineStr"/>
      <c r="F90" s="3" t="inlineStr">
        <is>
          <t>https://matvoc.nims.go.jp/entity/Q2190</t>
        </is>
      </c>
      <c r="G90" s="3" t="inlineStr">
        <is>
          <t>2022-07-11 04:36:42.734137+00</t>
        </is>
      </c>
    </row>
    <row r="91" ht="18.75" customHeight="1">
      <c r="A91" s="3" t="inlineStr">
        <is>
          <t>a13bc408-1ab5-507a-aa32-4fd856823475</t>
        </is>
      </c>
      <c r="B91" s="3" t="inlineStr">
        <is>
          <t>ゲルイメージング装置</t>
        </is>
      </c>
      <c r="C91" s="3" t="inlineStr">
        <is>
          <t>Gel Imaging Device</t>
        </is>
      </c>
      <c r="D91" s="3" t="inlineStr"/>
      <c r="E91" s="3" t="inlineStr"/>
      <c r="F91" s="3" t="inlineStr">
        <is>
          <t>https://matvoc.nims.go.jp/entity/Q2191</t>
        </is>
      </c>
      <c r="G91" s="3" t="inlineStr">
        <is>
          <t>2022-07-11 04:36:42.734137+00</t>
        </is>
      </c>
    </row>
    <row r="92" ht="18.75" customHeight="1">
      <c r="A92" s="3" t="inlineStr">
        <is>
          <t>ff8d965d-2371-fc93-02e7-d9e5c665aabd</t>
        </is>
      </c>
      <c r="B92" s="3" t="inlineStr">
        <is>
          <t>レーザーマイクロダイセクション</t>
        </is>
      </c>
      <c r="C92" s="3" t="inlineStr">
        <is>
          <t>Laser Microdissection (LMD)</t>
        </is>
      </c>
      <c r="D92" s="3" t="inlineStr"/>
      <c r="E92" s="3" t="inlineStr"/>
      <c r="F92" s="3" t="inlineStr">
        <is>
          <t>https://matvoc.nims.go.jp/entity/Q2192</t>
        </is>
      </c>
      <c r="G92" s="3" t="inlineStr">
        <is>
          <t>2022-07-11 04:36:42.734137+00</t>
        </is>
      </c>
    </row>
    <row r="93" ht="18.75" customHeight="1">
      <c r="A93" s="3" t="inlineStr">
        <is>
          <t>ed43d7c0-3e8f-d1bb-410c-86fc8658ad60</t>
        </is>
      </c>
      <c r="B93" s="3" t="inlineStr">
        <is>
          <t>DNAシーケンサー</t>
        </is>
      </c>
      <c r="C93" s="3" t="inlineStr">
        <is>
          <t>DNA Sequencer</t>
        </is>
      </c>
      <c r="D93" s="3" t="inlineStr"/>
      <c r="E93" s="3" t="inlineStr"/>
      <c r="F93" s="3" t="inlineStr">
        <is>
          <t>https://matvoc.nims.go.jp/entity/Q2193</t>
        </is>
      </c>
      <c r="G93" s="3" t="inlineStr">
        <is>
          <t>2022-07-11 04:36:42.734137+00</t>
        </is>
      </c>
    </row>
    <row r="94" ht="18.75" customHeight="1">
      <c r="A94" s="3" t="inlineStr">
        <is>
          <t>8c184331-da7c-9487-389f-3f1e00712517</t>
        </is>
      </c>
      <c r="B94" s="3" t="inlineStr">
        <is>
          <t>その他分析装置</t>
        </is>
      </c>
      <c r="C94" s="3" t="inlineStr">
        <is>
          <t>Analysis</t>
        </is>
      </c>
      <c r="D94" s="3" t="inlineStr"/>
      <c r="E94" s="3" t="inlineStr"/>
      <c r="F94" s="3" t="inlineStr">
        <is>
          <t>https://matvoc.nims.go.jp/entity/Q2077</t>
        </is>
      </c>
      <c r="G94" s="3" t="inlineStr">
        <is>
          <t>2022-07-11 04:36:42.734137+00</t>
        </is>
      </c>
    </row>
    <row r="95" ht="18.75" customHeight="1">
      <c r="A95" s="3" t="inlineStr">
        <is>
          <t>0f3f95ea-7ec5-4bbc-de53-5229680baefc</t>
        </is>
      </c>
      <c r="B95" s="3" t="inlineStr">
        <is>
          <t>示差走査熱量分析</t>
        </is>
      </c>
      <c r="C95" s="3" t="inlineStr">
        <is>
          <t>Differential Scanning Calorimetry</t>
        </is>
      </c>
      <c r="D95" s="3" t="inlineStr"/>
      <c r="E95" s="3" t="inlineStr"/>
      <c r="F95" s="3" t="inlineStr">
        <is>
          <t>https://matvoc.nims.go.jp/entity/Q2194</t>
        </is>
      </c>
      <c r="G95" s="3" t="inlineStr">
        <is>
          <t>2022-07-11 04:36:42.734137+00</t>
        </is>
      </c>
    </row>
    <row r="96" ht="18.75" customHeight="1">
      <c r="A96" s="3" t="inlineStr">
        <is>
          <t>0aadfff2-37de-411f-883a-38b62b2abbce</t>
        </is>
      </c>
      <c r="B96" s="3" t="inlineStr">
        <is>
          <t>化学組成</t>
        </is>
      </c>
      <c r="C96" s="3" t="inlineStr">
        <is>
          <t>Chemical composition</t>
        </is>
      </c>
      <c r="D96" s="3" t="inlineStr"/>
      <c r="E96" s="3" t="inlineStr"/>
      <c r="F96" s="3" t="inlineStr">
        <is>
          <t>NULL</t>
        </is>
      </c>
      <c r="G96" s="3" t="inlineStr">
        <is>
          <t>2022-10-11 06:12:34.454294+00</t>
        </is>
      </c>
    </row>
    <row r="97" ht="18.75" customHeight="1">
      <c r="A97" s="3" t="inlineStr">
        <is>
          <t>b2c7f83b-2d3e-b4fa-7713-c7d00be03694</t>
        </is>
      </c>
      <c r="B97" s="3" t="inlineStr">
        <is>
          <t>熱重量分析</t>
        </is>
      </c>
      <c r="C97" s="3" t="inlineStr">
        <is>
          <t>Thermal Gravimetric Analysis</t>
        </is>
      </c>
      <c r="D97" s="3" t="inlineStr"/>
      <c r="E97" s="3" t="inlineStr"/>
      <c r="F97" s="3" t="inlineStr">
        <is>
          <t>https://matvoc.nims.go.jp/entity/Q2195</t>
        </is>
      </c>
      <c r="G97" s="3" t="inlineStr">
        <is>
          <t>2022-07-11 04:36:42.734137+00</t>
        </is>
      </c>
    </row>
    <row r="98" ht="18.75" customHeight="1">
      <c r="A98" s="3" t="inlineStr">
        <is>
          <t>ef4d131a-caee-b971-a9de-8581650f1ebe</t>
        </is>
      </c>
      <c r="B98" s="3" t="inlineStr">
        <is>
          <t>示差熱・熱重量同時測定</t>
        </is>
      </c>
      <c r="C98" s="3" t="inlineStr">
        <is>
          <t>Thermal Gravimetric Differential Scanning Calorimetry</t>
        </is>
      </c>
      <c r="D98" s="3" t="inlineStr"/>
      <c r="E98" s="3" t="inlineStr"/>
      <c r="F98" s="3" t="inlineStr">
        <is>
          <t>https://matvoc.nims.go.jp/entity/Q2196</t>
        </is>
      </c>
      <c r="G98" s="3" t="inlineStr">
        <is>
          <t>2022-07-11 04:36:42.734137+00</t>
        </is>
      </c>
    </row>
    <row r="99" ht="18.75" customHeight="1">
      <c r="A99" s="3" t="inlineStr">
        <is>
          <t>88271e6e-7f12-0624-5728-93c4141649f3</t>
        </is>
      </c>
      <c r="B99" s="3" t="inlineStr">
        <is>
          <t>熱機械分析</t>
        </is>
      </c>
      <c r="C99" s="3" t="inlineStr">
        <is>
          <t>Thermomechanical Analyzer</t>
        </is>
      </c>
      <c r="D99" s="3" t="inlineStr"/>
      <c r="E99" s="3" t="inlineStr"/>
      <c r="F99" s="3" t="inlineStr">
        <is>
          <t>https://matvoc.nims.go.jp/entity/Q2197</t>
        </is>
      </c>
      <c r="G99" s="3" t="inlineStr">
        <is>
          <t>2022-07-11 04:36:42.734137+00</t>
        </is>
      </c>
    </row>
    <row r="100" ht="18.75" customHeight="1">
      <c r="A100" s="3" t="inlineStr">
        <is>
          <t>c809cf3c-c285-d2f7-a465-00e1db62c842</t>
        </is>
      </c>
      <c r="B100" s="3" t="inlineStr">
        <is>
          <t>粘弾性測定</t>
        </is>
      </c>
      <c r="C100" s="3" t="inlineStr">
        <is>
          <t>Viscoelasticity</t>
        </is>
      </c>
      <c r="D100" s="3" t="inlineStr"/>
      <c r="E100" s="3" t="inlineStr"/>
      <c r="F100" s="3" t="inlineStr">
        <is>
          <t>https://matvoc.nims.go.jp/entity/Q2198</t>
        </is>
      </c>
      <c r="G100" s="3" t="inlineStr">
        <is>
          <t>2022-07-11 04:36:42.734137+00</t>
        </is>
      </c>
    </row>
    <row r="101" ht="18.75" customHeight="1">
      <c r="A101" s="3" t="inlineStr">
        <is>
          <t>526fe0cb-d32c-152a-aa90-c02125fceec6</t>
        </is>
      </c>
      <c r="B101" s="3" t="inlineStr">
        <is>
          <t>段差計</t>
        </is>
      </c>
      <c r="C101" s="3" t="inlineStr">
        <is>
          <t>Profiler</t>
        </is>
      </c>
      <c r="D101" s="3" t="inlineStr"/>
      <c r="E101" s="3" t="inlineStr"/>
      <c r="F101" s="3" t="inlineStr">
        <is>
          <t>https://matvoc.nims.go.jp/entity/Q2199</t>
        </is>
      </c>
      <c r="G101" s="3" t="inlineStr">
        <is>
          <t>2022-07-11 04:36:42.734137+00</t>
        </is>
      </c>
    </row>
    <row r="102" ht="18.75" customHeight="1">
      <c r="A102" s="3" t="inlineStr">
        <is>
          <t>3cc18fdb-6113-bfac-9d4b-95bf2a2a1f0f</t>
        </is>
      </c>
      <c r="B102" s="3" t="inlineStr">
        <is>
          <t>膜厚測定</t>
        </is>
      </c>
      <c r="C102" s="3" t="inlineStr">
        <is>
          <t>Film Thickness Measurement</t>
        </is>
      </c>
      <c r="D102" s="3" t="inlineStr"/>
      <c r="E102" s="3" t="inlineStr"/>
      <c r="F102" s="3" t="inlineStr">
        <is>
          <t>https://matvoc.nims.go.jp/entity/Q2081</t>
        </is>
      </c>
      <c r="G102" s="3" t="inlineStr">
        <is>
          <t>2022-07-11 04:36:42.734137+00</t>
        </is>
      </c>
    </row>
    <row r="103" ht="18.75" customHeight="1">
      <c r="A103" s="3" t="inlineStr">
        <is>
          <t>8a9798a6-92d4-4eb5-c39d-f5e450d0fe4d</t>
        </is>
      </c>
      <c r="B103" s="3" t="inlineStr">
        <is>
          <t>エリプソメーター</t>
        </is>
      </c>
      <c r="C103" s="3" t="inlineStr">
        <is>
          <t>Ellipsometry</t>
        </is>
      </c>
      <c r="D103" s="3" t="inlineStr"/>
      <c r="E103" s="3" t="inlineStr"/>
      <c r="F103" s="3" t="inlineStr">
        <is>
          <t>https://matvoc.nims.go.jp/entity/Q2201</t>
        </is>
      </c>
      <c r="G103" s="3" t="inlineStr">
        <is>
          <t>2022-07-11 04:36:42.734137+00</t>
        </is>
      </c>
    </row>
    <row r="104" ht="18.75" customHeight="1">
      <c r="A104" s="3" t="inlineStr">
        <is>
          <t>227dc833-c1b7-eb0f-cc1a-00800ceeeb3d</t>
        </is>
      </c>
      <c r="B104" s="3" t="inlineStr">
        <is>
          <t>接触角計</t>
        </is>
      </c>
      <c r="C104" s="3" t="inlineStr">
        <is>
          <t xml:space="preserve">Contact Angle Meter </t>
        </is>
      </c>
      <c r="D104" s="3" t="inlineStr"/>
      <c r="E104" s="3" t="inlineStr"/>
      <c r="F104" s="3" t="inlineStr">
        <is>
          <t>https://matvoc.nims.go.jp/entity/Q2202</t>
        </is>
      </c>
      <c r="G104" s="3" t="inlineStr">
        <is>
          <t>2022-07-11 04:36:42.734137+00</t>
        </is>
      </c>
    </row>
    <row r="105" ht="18.75" customHeight="1">
      <c r="A105" s="3" t="inlineStr">
        <is>
          <t>6ddfae24-6434-d553-c04c-0829998bd1f8</t>
        </is>
      </c>
      <c r="B105" s="3" t="inlineStr">
        <is>
          <t>ゼータ電位</t>
        </is>
      </c>
      <c r="C105" s="3" t="inlineStr">
        <is>
          <t>Zeta Potential</t>
        </is>
      </c>
      <c r="D105" s="3" t="inlineStr"/>
      <c r="E105" s="3" t="inlineStr"/>
      <c r="F105" s="3" t="inlineStr">
        <is>
          <t>https://matvoc.nims.go.jp/entity/Q2203</t>
        </is>
      </c>
      <c r="G105" s="3" t="inlineStr">
        <is>
          <t>2022-07-11 04:36:42.734137+00</t>
        </is>
      </c>
    </row>
    <row r="106" ht="18.75" customHeight="1">
      <c r="A106" s="3" t="inlineStr">
        <is>
          <t>c148da80-56ae-b4c5-34d0-6316a08e25e2</t>
        </is>
      </c>
      <c r="B106" s="3" t="inlineStr">
        <is>
          <t>粒度分布測定（動的光散乱）</t>
        </is>
      </c>
      <c r="C106" s="3" t="inlineStr">
        <is>
          <t xml:space="preserve">Dynamic Light Scattering </t>
        </is>
      </c>
      <c r="D106" s="3" t="inlineStr"/>
      <c r="E106" s="3" t="inlineStr"/>
      <c r="F106" s="3" t="inlineStr">
        <is>
          <t>https://matvoc.nims.go.jp/entity/Q2204</t>
        </is>
      </c>
      <c r="G106" s="3" t="inlineStr">
        <is>
          <t>2022-07-11 04:36:42.734137+00</t>
        </is>
      </c>
    </row>
    <row r="107" ht="18.75" customHeight="1">
      <c r="A107" s="3" t="inlineStr">
        <is>
          <t>0245bde7-403f-2a17-4fb8-a950ac42a2a6</t>
        </is>
      </c>
      <c r="B107" s="3" t="inlineStr">
        <is>
          <t>粒度分布測定（静的光散乱）</t>
        </is>
      </c>
      <c r="C107" s="3" t="inlineStr">
        <is>
          <t xml:space="preserve">Static Light Scattering </t>
        </is>
      </c>
      <c r="D107" s="3" t="inlineStr"/>
      <c r="E107" s="3" t="inlineStr"/>
      <c r="F107" s="3" t="inlineStr">
        <is>
          <t>https://matvoc.nims.go.jp/entity/Q2205</t>
        </is>
      </c>
      <c r="G107" s="3" t="inlineStr">
        <is>
          <t>2022-07-11 04:36:42.734137+00</t>
        </is>
      </c>
    </row>
    <row r="108" ht="18.75" customHeight="1">
      <c r="A108" s="3" t="inlineStr">
        <is>
          <t>bf8a0661-6c3f-3d1d-1e99-121c54031f78</t>
        </is>
      </c>
      <c r="B108" s="3" t="inlineStr">
        <is>
          <t>蒸気圧式絶対分子量測定</t>
        </is>
      </c>
      <c r="C108" s="3" t="inlineStr">
        <is>
          <t>Vapor Pressure Osmometer</t>
        </is>
      </c>
      <c r="D108" s="3" t="inlineStr"/>
      <c r="E108" s="3" t="inlineStr"/>
      <c r="F108" s="3" t="inlineStr">
        <is>
          <t>https://matvoc.nims.go.jp/entity/Q2206</t>
        </is>
      </c>
      <c r="G108" s="3" t="inlineStr">
        <is>
          <t>2022-07-11 04:36:42.734137+00</t>
        </is>
      </c>
    </row>
    <row r="109" ht="18.75" customHeight="1">
      <c r="A109" s="3" t="inlineStr">
        <is>
          <t>7d1c841a-5fb3-ad87-1f64-d3f1f1a5c518</t>
        </is>
      </c>
      <c r="B109" s="3" t="inlineStr">
        <is>
          <t>電子物性評価</t>
        </is>
      </c>
      <c r="C109" s="3" t="inlineStr">
        <is>
          <t>Electronic Property</t>
        </is>
      </c>
      <c r="D109" s="3" t="inlineStr"/>
      <c r="E109" s="3" t="inlineStr"/>
      <c r="F109" s="3" t="inlineStr">
        <is>
          <t>https://matvoc.nims.go.jp/entity/Q2207</t>
        </is>
      </c>
      <c r="G109" s="3" t="inlineStr">
        <is>
          <t>2022-07-11 04:36:42.734137+00</t>
        </is>
      </c>
    </row>
    <row r="110" ht="18.75" customHeight="1">
      <c r="A110" s="3" t="inlineStr">
        <is>
          <t>7aff20e0-f4f1-1412-acff-8cd330e7a16a</t>
        </is>
      </c>
      <c r="B110" s="3" t="inlineStr">
        <is>
          <t>電子材料・デバイス評価</t>
        </is>
      </c>
      <c r="C110" s="3" t="inlineStr">
        <is>
          <t>Electronic Materials &amp; Device characterization</t>
        </is>
      </c>
      <c r="D110" s="3" t="inlineStr"/>
      <c r="E110" s="3" t="inlineStr"/>
      <c r="F110" s="3" t="inlineStr">
        <is>
          <t>https://matvoc.nims.go.jp/entity/Q2208</t>
        </is>
      </c>
      <c r="G110" s="3" t="inlineStr">
        <is>
          <t>2022-07-11 04:36:42.734137+00</t>
        </is>
      </c>
    </row>
    <row r="111" ht="18.75" customHeight="1">
      <c r="A111" s="3" t="inlineStr">
        <is>
          <t>691ba859-8db2-01b7-3b15-9dc4d041e36e</t>
        </is>
      </c>
      <c r="B111" s="3" t="inlineStr">
        <is>
          <t>メスバウアー分光</t>
        </is>
      </c>
      <c r="C111" s="3" t="inlineStr">
        <is>
          <t>Mössbauer Spectrometer</t>
        </is>
      </c>
      <c r="D111" s="3" t="inlineStr"/>
      <c r="E111" s="3" t="inlineStr"/>
      <c r="F111" s="3" t="inlineStr">
        <is>
          <t>https://matvoc.nims.go.jp/entity/Q2209</t>
        </is>
      </c>
      <c r="G111" s="3" t="inlineStr">
        <is>
          <t>2022-07-11 04:36:42.734137+00</t>
        </is>
      </c>
    </row>
    <row r="112" ht="18.75" customHeight="1">
      <c r="A112" s="3" t="inlineStr">
        <is>
          <t>107226ca-1ec2-55b8-0e1f-c63743d53cf4</t>
        </is>
      </c>
      <c r="B112" s="3" t="inlineStr">
        <is>
          <t>電気化学</t>
        </is>
      </c>
      <c r="C112" s="3" t="inlineStr">
        <is>
          <t>Electron Chemical</t>
        </is>
      </c>
      <c r="D112" s="3" t="inlineStr"/>
      <c r="E112" s="3" t="inlineStr"/>
      <c r="F112" s="3" t="inlineStr">
        <is>
          <t>https://matvoc.nims.go.jp/entity/Q2078</t>
        </is>
      </c>
      <c r="G112" s="3" t="inlineStr">
        <is>
          <t>2022-07-11 04:36:42.734137+00</t>
        </is>
      </c>
    </row>
    <row r="113" ht="18.75" customHeight="1">
      <c r="A113" s="3" t="inlineStr">
        <is>
          <t>cf609657-03b8-7602-a54f-075f7cd2deb5</t>
        </is>
      </c>
      <c r="B113" s="3" t="inlineStr">
        <is>
          <t>電流滴定</t>
        </is>
      </c>
      <c r="C113" s="3" t="inlineStr">
        <is>
          <t>Amoperometry</t>
        </is>
      </c>
      <c r="D113" s="3" t="inlineStr"/>
      <c r="E113" s="3" t="inlineStr"/>
      <c r="F113" s="3" t="inlineStr">
        <is>
          <t>https://matvoc.nims.go.jp/entity/Q2210</t>
        </is>
      </c>
      <c r="G113" s="3" t="inlineStr">
        <is>
          <t>2022-07-11 04:36:42.734137+00</t>
        </is>
      </c>
    </row>
    <row r="114" ht="18.75" customHeight="1">
      <c r="A114" s="3" t="inlineStr">
        <is>
          <t>5ddb5803-ee23-f31b-6f90-40b5d610ada9</t>
        </is>
      </c>
      <c r="B114" s="3" t="inlineStr">
        <is>
          <t>電位差測定</t>
        </is>
      </c>
      <c r="C114" s="3" t="inlineStr">
        <is>
          <t>Potentiometry</t>
        </is>
      </c>
      <c r="D114" s="3" t="inlineStr"/>
      <c r="E114" s="3" t="inlineStr"/>
      <c r="F114" s="3" t="inlineStr">
        <is>
          <t>https://matvoc.nims.go.jp/entity/Q2211</t>
        </is>
      </c>
      <c r="G114" s="3" t="inlineStr">
        <is>
          <t>2022-07-11 04:36:42.734137+00</t>
        </is>
      </c>
    </row>
    <row r="115" ht="18.75" customHeight="1">
      <c r="A115" s="3" t="inlineStr">
        <is>
          <t>2f015dcd-3c4f-848c-cc6e-6f7b51a33e14</t>
        </is>
      </c>
      <c r="B115" s="3" t="inlineStr">
        <is>
          <t>電流測定</t>
        </is>
      </c>
      <c r="C115" s="3" t="inlineStr">
        <is>
          <t>Voltammetry</t>
        </is>
      </c>
      <c r="D115" s="3" t="inlineStr"/>
      <c r="E115" s="3" t="inlineStr"/>
      <c r="F115" s="3" t="inlineStr">
        <is>
          <t>https://matvoc.nims.go.jp/entity/Q2212</t>
        </is>
      </c>
      <c r="G115" s="3" t="inlineStr">
        <is>
          <t>2022-07-11 04:36:42.734137+00</t>
        </is>
      </c>
    </row>
    <row r="116" ht="18.75" customHeight="1">
      <c r="A116" s="3" t="inlineStr">
        <is>
          <t>b9314e0a-65e5-51ba-af82-a3fbbc90318a</t>
        </is>
      </c>
      <c r="B116" s="3" t="inlineStr">
        <is>
          <t>機械特性</t>
        </is>
      </c>
      <c r="C116" s="3" t="inlineStr">
        <is>
          <t>Mechanical Properties</t>
        </is>
      </c>
      <c r="D116" s="3" t="inlineStr"/>
      <c r="E116" s="3" t="inlineStr"/>
      <c r="F116" s="3" t="inlineStr">
        <is>
          <t>https://matvoc.nims.go.jp/entity/Q2079</t>
        </is>
      </c>
      <c r="G116" s="3" t="inlineStr">
        <is>
          <t>2022-07-11 04:36:42.734137+00</t>
        </is>
      </c>
    </row>
    <row r="117" ht="18.75" customHeight="1">
      <c r="A117" s="3" t="inlineStr">
        <is>
          <t>bc3a9fc9-506f-240c-a4f8-6214b0d4ce3d</t>
        </is>
      </c>
      <c r="B117" s="3" t="inlineStr">
        <is>
          <t>圧縮試験</t>
        </is>
      </c>
      <c r="C117" s="3" t="inlineStr">
        <is>
          <t>Compression Test</t>
        </is>
      </c>
      <c r="D117" s="3" t="inlineStr"/>
      <c r="E117" s="3" t="inlineStr"/>
      <c r="F117" s="3" t="inlineStr">
        <is>
          <t>https://matvoc.nims.go.jp/entity/Q2213</t>
        </is>
      </c>
      <c r="G117" s="3" t="inlineStr">
        <is>
          <t>2022-07-11 04:36:42.734137+00</t>
        </is>
      </c>
    </row>
    <row r="118" ht="18.75" customHeight="1">
      <c r="A118" s="3" t="inlineStr">
        <is>
          <t>e8bd346d-97a0-de92-9d0b-1f38e9674f53</t>
        </is>
      </c>
      <c r="B118" s="3" t="inlineStr">
        <is>
          <t>クリープ試験</t>
        </is>
      </c>
      <c r="C118" s="3" t="inlineStr">
        <is>
          <t>Creep Test</t>
        </is>
      </c>
      <c r="D118" s="3" t="inlineStr"/>
      <c r="E118" s="3" t="inlineStr"/>
      <c r="F118" s="3" t="inlineStr">
        <is>
          <t>https://matvoc.nims.go.jp/entity/Q2214</t>
        </is>
      </c>
      <c r="G118" s="3" t="inlineStr">
        <is>
          <t>2022-07-11 04:36:42.734137+00</t>
        </is>
      </c>
    </row>
    <row r="119" ht="18.75" customHeight="1">
      <c r="A119" s="3" t="inlineStr">
        <is>
          <t>e5265dd1-573a-bbf3-ca13-d30493c81203</t>
        </is>
      </c>
      <c r="B119" s="3" t="inlineStr">
        <is>
          <t>動的機械分析</t>
        </is>
      </c>
      <c r="C119" s="3" t="inlineStr">
        <is>
          <t>Dynamic Mechanical Analysis</t>
        </is>
      </c>
      <c r="D119" s="3" t="inlineStr"/>
      <c r="E119" s="3" t="inlineStr"/>
      <c r="F119" s="3" t="inlineStr">
        <is>
          <t>https://matvoc.nims.go.jp/entity/Q2215</t>
        </is>
      </c>
      <c r="G119" s="3" t="inlineStr">
        <is>
          <t>2022-07-11 04:36:42.734137+00</t>
        </is>
      </c>
    </row>
    <row r="120" ht="18.75" customHeight="1">
      <c r="A120" s="3" t="inlineStr">
        <is>
          <t>efc7807d-5204-0c30-0d99-5cdcd489ac70</t>
        </is>
      </c>
      <c r="B120" s="3" t="inlineStr">
        <is>
          <t>疲労試験</t>
        </is>
      </c>
      <c r="C120" s="3" t="inlineStr">
        <is>
          <t>Fatigue Testing</t>
        </is>
      </c>
      <c r="D120" s="3" t="inlineStr"/>
      <c r="E120" s="3" t="inlineStr"/>
      <c r="F120" s="3" t="inlineStr">
        <is>
          <t>https://matvoc.nims.go.jp/entity/Q2216</t>
        </is>
      </c>
      <c r="G120" s="3" t="inlineStr">
        <is>
          <t>2022-07-11 04:36:42.734137+00</t>
        </is>
      </c>
    </row>
    <row r="121" ht="18.75" customHeight="1">
      <c r="A121" s="3" t="inlineStr">
        <is>
          <t>dc7e19ad-c389-6e13-9bfd-352dd0233a1a</t>
        </is>
      </c>
      <c r="B121" s="3" t="inlineStr">
        <is>
          <t>硬度計</t>
        </is>
      </c>
      <c r="C121" s="3" t="inlineStr">
        <is>
          <t>Hardness Testing</t>
        </is>
      </c>
      <c r="D121" s="3" t="inlineStr"/>
      <c r="E121" s="3" t="inlineStr"/>
      <c r="F121" s="3" t="inlineStr">
        <is>
          <t>https://matvoc.nims.go.jp/entity/Q2217</t>
        </is>
      </c>
      <c r="G121" s="3" t="inlineStr">
        <is>
          <t>2022-07-11 04:36:42.734137+00</t>
        </is>
      </c>
    </row>
    <row r="122" ht="18.75" customHeight="1">
      <c r="A122" s="3" t="inlineStr">
        <is>
          <t>61b86478-b8a2-cd75-5c2e-2a271c153af2</t>
        </is>
      </c>
      <c r="B122" s="3" t="inlineStr">
        <is>
          <t>ナノインデンテーション試験</t>
        </is>
      </c>
      <c r="C122" s="3" t="inlineStr">
        <is>
          <t>Nanoindentation</t>
        </is>
      </c>
      <c r="D122" s="3" t="inlineStr"/>
      <c r="E122" s="3" t="inlineStr"/>
      <c r="F122" s="3" t="inlineStr">
        <is>
          <t>https://matvoc.nims.go.jp/entity/Q2218</t>
        </is>
      </c>
      <c r="G122" s="3" t="inlineStr">
        <is>
          <t>2022-07-11 04:36:42.734137+00</t>
        </is>
      </c>
    </row>
    <row r="123" ht="18.75" customHeight="1">
      <c r="A123" s="3" t="inlineStr">
        <is>
          <t>ecc91ce2-55ab-bf8f-c6c3-6c50d277291a</t>
        </is>
      </c>
      <c r="B123" s="3" t="inlineStr">
        <is>
          <t>せん断　ねじれ</t>
        </is>
      </c>
      <c r="C123" s="3" t="inlineStr">
        <is>
          <t xml:space="preserve">Shear or Torsion </t>
        </is>
      </c>
      <c r="D123" s="3" t="inlineStr"/>
      <c r="E123" s="3" t="inlineStr"/>
      <c r="F123" s="3" t="inlineStr">
        <is>
          <t>https://matvoc.nims.go.jp/entity/Q2219</t>
        </is>
      </c>
      <c r="G123" s="3" t="inlineStr">
        <is>
          <t>2022-07-11 04:36:42.734137+00</t>
        </is>
      </c>
    </row>
    <row r="124" ht="18.75" customHeight="1">
      <c r="A124" s="3" t="inlineStr">
        <is>
          <t>2abe85d3-2b3a-4923-2cb8-8e7012830e90</t>
        </is>
      </c>
      <c r="B124" s="3" t="inlineStr">
        <is>
          <t>引っ張り試験</t>
        </is>
      </c>
      <c r="C124" s="3" t="inlineStr">
        <is>
          <t>Tension Test</t>
        </is>
      </c>
      <c r="D124" s="3" t="inlineStr"/>
      <c r="E124" s="3" t="inlineStr"/>
      <c r="F124" s="3" t="inlineStr">
        <is>
          <t>https://matvoc.nims.go.jp/entity/Q2220</t>
        </is>
      </c>
      <c r="G124" s="3" t="inlineStr">
        <is>
          <t>2022-07-11 04:36:42.734137+00</t>
        </is>
      </c>
    </row>
    <row r="125" ht="18.75" customHeight="1">
      <c r="A125" s="3" t="inlineStr">
        <is>
          <t>9f7882ce-a26f-0156-672c-dd8ff7c5eeeb</t>
        </is>
      </c>
      <c r="B125" s="3" t="inlineStr">
        <is>
          <t>計算</t>
        </is>
      </c>
      <c r="C125" s="3" t="inlineStr">
        <is>
          <t>Calculation</t>
        </is>
      </c>
      <c r="D125" s="3" t="inlineStr"/>
      <c r="E125" s="3" t="inlineStr"/>
      <c r="F125" s="3" t="inlineStr">
        <is>
          <t>https://matvoc.nims.go.jp/entity/Q1921</t>
        </is>
      </c>
      <c r="G125" s="3" t="inlineStr">
        <is>
          <t>2022-07-11 04:36:42.734137+00</t>
        </is>
      </c>
    </row>
    <row r="126" ht="18.75" customHeight="1">
      <c r="A126" s="3" t="inlineStr">
        <is>
          <t>9c0f62b3-cc76-dc89-3306-1dfafdbd210f</t>
        </is>
      </c>
      <c r="B126" s="3" t="inlineStr">
        <is>
          <t>理論計算・シミュレーション</t>
        </is>
      </c>
      <c r="C126" s="3" t="inlineStr">
        <is>
          <t>Theory Calculation,Simulation</t>
        </is>
      </c>
      <c r="D126" s="3" t="inlineStr"/>
      <c r="E126" s="3" t="inlineStr"/>
      <c r="F126" s="3" t="inlineStr">
        <is>
          <t>https://matvoc.nims.go.jp/entity/Q2080</t>
        </is>
      </c>
      <c r="G126" s="3" t="inlineStr">
        <is>
          <t>2022-07-11 04:36:42.734137+00</t>
        </is>
      </c>
    </row>
    <row r="127" ht="18.75" customHeight="1">
      <c r="A127" s="3" t="inlineStr">
        <is>
          <t>1afbb021-8315-7848-e762-574abe266cac</t>
        </is>
      </c>
      <c r="B127" s="3" t="inlineStr">
        <is>
          <t>理論計算</t>
        </is>
      </c>
      <c r="C127" s="3" t="inlineStr">
        <is>
          <t>Theoritical Calculation</t>
        </is>
      </c>
      <c r="D127" s="3" t="inlineStr"/>
      <c r="E127" s="3" t="inlineStr"/>
      <c r="F127" s="3" t="inlineStr">
        <is>
          <t>https://matvoc.nims.go.jp/entity/Q2221</t>
        </is>
      </c>
      <c r="G127" s="3" t="inlineStr">
        <is>
          <t>2022-07-11 04:36:42.734137+00</t>
        </is>
      </c>
    </row>
    <row r="128" ht="18.75" customHeight="1">
      <c r="A128" s="3" t="inlineStr">
        <is>
          <t>52112a1c-05f8-8994-a1ab-eda4f2186bb7</t>
        </is>
      </c>
      <c r="B128" s="3" t="inlineStr">
        <is>
          <t>シミュレーション</t>
        </is>
      </c>
      <c r="C128" s="3" t="inlineStr">
        <is>
          <t>Simulation</t>
        </is>
      </c>
      <c r="D128" s="3" t="inlineStr"/>
      <c r="E128" s="3" t="inlineStr"/>
      <c r="F128" s="3" t="inlineStr">
        <is>
          <t>https://matvoc.nims.go.jp/entity/Q2222</t>
        </is>
      </c>
      <c r="G128" s="3" t="inlineStr">
        <is>
          <t>2022-07-11 04:36:42.734137+00</t>
        </is>
      </c>
    </row>
    <row r="129" ht="18.75" customHeight="1">
      <c r="A129" s="3" t="inlineStr">
        <is>
          <t>62b86c28-f65e-9033-8f4e-0b57d7d7c934</t>
        </is>
      </c>
      <c r="B129" s="3" t="inlineStr">
        <is>
          <t>CAD</t>
        </is>
      </c>
      <c r="C129" s="3" t="inlineStr">
        <is>
          <t>Computer-Aided Design</t>
        </is>
      </c>
      <c r="D129" s="3" t="inlineStr"/>
      <c r="E129" s="3" t="inlineStr"/>
      <c r="F129" s="3" t="inlineStr">
        <is>
          <t>https://matvoc.nims.go.jp/entity/Q2223</t>
        </is>
      </c>
      <c r="G129" s="3" t="inlineStr">
        <is>
          <t>2022-07-11 04:36:42.734137+00</t>
        </is>
      </c>
    </row>
    <row r="130" ht="18.75" customHeight="1">
      <c r="A130" s="3" t="inlineStr">
        <is>
          <t>e3e30902-355d-ac89-b710-16129b2120cd</t>
        </is>
      </c>
      <c r="B130" s="3" t="inlineStr">
        <is>
          <t>機械学習</t>
        </is>
      </c>
      <c r="C130" s="3" t="inlineStr">
        <is>
          <t>Machine Learning</t>
        </is>
      </c>
      <c r="D130" s="3" t="inlineStr"/>
      <c r="E130" s="3" t="inlineStr"/>
      <c r="F130" s="3" t="inlineStr">
        <is>
          <t>https://matvoc.nims.go.jp/entity/Q2224</t>
        </is>
      </c>
      <c r="G130" s="3" t="inlineStr">
        <is>
          <t>2022-07-11 04:36:42.734137+00</t>
        </is>
      </c>
    </row>
    <row r="131" ht="18.75" customHeight="1">
      <c r="A131" s="3" t="inlineStr">
        <is>
          <t>f61693c0-665e-dbaa-154d-960d1ada93ef</t>
        </is>
      </c>
      <c r="B131" s="3" t="inlineStr">
        <is>
          <t>合成・プロセス装置</t>
        </is>
      </c>
      <c r="C131" s="3" t="inlineStr">
        <is>
          <t>Synthesis and Processing Instruments</t>
        </is>
      </c>
      <c r="D131" s="3" t="inlineStr"/>
      <c r="E131" s="3" t="inlineStr"/>
      <c r="F131" s="3" t="inlineStr">
        <is>
          <t>https://matvoc.nims.go.jp/entity/Q1922</t>
        </is>
      </c>
      <c r="G131" s="3" t="inlineStr">
        <is>
          <t>2022-07-11 04:36:42.734137+00</t>
        </is>
      </c>
    </row>
    <row r="132" ht="18.75" customHeight="1">
      <c r="A132" s="3" t="inlineStr">
        <is>
          <t>7fd5bdad-ea92-e4ba-754b-2ed52f7deb6e</t>
        </is>
      </c>
      <c r="B132" s="3" t="inlineStr">
        <is>
          <t>蒸着・成膜装置</t>
        </is>
      </c>
      <c r="C132" s="3" t="inlineStr">
        <is>
          <t>Film formation, Deposition</t>
        </is>
      </c>
      <c r="D132" s="3" t="inlineStr"/>
      <c r="E132" s="3" t="inlineStr"/>
      <c r="F132" s="3" t="inlineStr">
        <is>
          <t>https://matvoc.nims.go.jp/entity/Q2200</t>
        </is>
      </c>
      <c r="G132" s="3" t="inlineStr">
        <is>
          <t>2022-07-11 04:36:42.734137+00</t>
        </is>
      </c>
    </row>
    <row r="133" ht="18.75" customHeight="1">
      <c r="A133" s="3" t="inlineStr">
        <is>
          <t>8f1e6770-bb84-104c-02c1-96b64c9af10a</t>
        </is>
      </c>
      <c r="B133" s="3" t="inlineStr">
        <is>
          <t>原子層堆積(ALD)装置</t>
        </is>
      </c>
      <c r="C133" s="3" t="inlineStr">
        <is>
          <t>Atomic Layer Deposition System</t>
        </is>
      </c>
      <c r="D133" s="3" t="inlineStr"/>
      <c r="E133" s="3" t="inlineStr"/>
      <c r="F133" s="3" t="inlineStr">
        <is>
          <t>https://matvoc.nims.go.jp/entity/Q2225</t>
        </is>
      </c>
      <c r="G133" s="3" t="inlineStr">
        <is>
          <t>2022-07-11 04:36:42.734137+00</t>
        </is>
      </c>
    </row>
    <row r="134" ht="18.75" customHeight="1">
      <c r="A134" s="3" t="inlineStr">
        <is>
          <t>09decd93-eca4-8840-4768-cfd0caa5b31a</t>
        </is>
      </c>
      <c r="B134" s="3" t="inlineStr">
        <is>
          <t>コーター</t>
        </is>
      </c>
      <c r="C134" s="3" t="inlineStr">
        <is>
          <t>Coater</t>
        </is>
      </c>
      <c r="D134" s="3" t="inlineStr"/>
      <c r="E134" s="3" t="inlineStr"/>
      <c r="F134" s="3" t="inlineStr">
        <is>
          <t>https://matvoc.nims.go.jp/entity/Q2226</t>
        </is>
      </c>
      <c r="G134" s="3" t="inlineStr">
        <is>
          <t>2022-07-11 04:36:42.734137+00</t>
        </is>
      </c>
    </row>
    <row r="135" ht="18.75" customHeight="1">
      <c r="A135" s="3" t="inlineStr">
        <is>
          <t>32844a1b-8d3a-525b-b2a8-59e1b9f8eb9b</t>
        </is>
      </c>
      <c r="B135" s="3" t="inlineStr">
        <is>
          <t>化学蒸着(CVD)装置</t>
        </is>
      </c>
      <c r="C135" s="3" t="inlineStr">
        <is>
          <t>Chemical Vapor Deposition System</t>
        </is>
      </c>
      <c r="D135" s="3" t="inlineStr"/>
      <c r="E135" s="3" t="inlineStr"/>
      <c r="F135" s="3" t="inlineStr">
        <is>
          <t>https://matvoc.nims.go.jp/entity/Q2227</t>
        </is>
      </c>
      <c r="G135" s="3" t="inlineStr">
        <is>
          <t>2022-07-11 04:36:42.734137+00</t>
        </is>
      </c>
    </row>
    <row r="136" ht="18.75" customHeight="1">
      <c r="A136" s="3" t="inlineStr">
        <is>
          <t>b1443f44-9102-ac2e-896b-62f89931bf10</t>
        </is>
      </c>
      <c r="B136" s="3" t="inlineStr">
        <is>
          <t>電着装置</t>
        </is>
      </c>
      <c r="C136" s="3" t="inlineStr">
        <is>
          <t>Electrodeposition System</t>
        </is>
      </c>
      <c r="D136" s="3" t="inlineStr"/>
      <c r="E136" s="3" t="inlineStr"/>
      <c r="F136" s="3" t="inlineStr">
        <is>
          <t>https://matvoc.nims.go.jp/entity/Q2228</t>
        </is>
      </c>
      <c r="G136" s="3" t="inlineStr">
        <is>
          <t>2022-07-11 04:36:42.734137+00</t>
        </is>
      </c>
    </row>
    <row r="137" ht="18.75" customHeight="1">
      <c r="A137" s="3" t="inlineStr">
        <is>
          <t>20dffae5-f7b4-5bed-d32c-830e62e412bb</t>
        </is>
      </c>
      <c r="B137" s="3" t="inlineStr">
        <is>
          <t>物理蒸着(PVD)装置</t>
        </is>
      </c>
      <c r="C137" s="3" t="inlineStr">
        <is>
          <t>Physical Vapor Deposition System</t>
        </is>
      </c>
      <c r="D137" s="3" t="inlineStr"/>
      <c r="E137" s="3" t="inlineStr"/>
      <c r="F137" s="3" t="inlineStr">
        <is>
          <t>https://matvoc.nims.go.jp/entity/Q2229</t>
        </is>
      </c>
      <c r="G137" s="3" t="inlineStr">
        <is>
          <t>2022-07-11 04:36:42.734137+00</t>
        </is>
      </c>
    </row>
    <row r="138" ht="18.75" customHeight="1">
      <c r="A138" s="3" t="inlineStr">
        <is>
          <t>900901bf-752c-9300-4dfc-fea09eb083ca</t>
        </is>
      </c>
      <c r="B138" s="3" t="inlineStr">
        <is>
          <t>インクジェット堆積装置</t>
        </is>
      </c>
      <c r="C138" s="3" t="inlineStr">
        <is>
          <t>Ink-Jet Deposition System</t>
        </is>
      </c>
      <c r="D138" s="3" t="inlineStr"/>
      <c r="E138" s="3" t="inlineStr"/>
      <c r="F138" s="3" t="inlineStr">
        <is>
          <t>https://matvoc.nims.go.jp/entity/Q2230</t>
        </is>
      </c>
      <c r="G138" s="3" t="inlineStr">
        <is>
          <t>2022-07-11 04:36:42.734137+00</t>
        </is>
      </c>
    </row>
    <row r="139" ht="18.75" customHeight="1">
      <c r="A139" s="3" t="inlineStr">
        <is>
          <t>0f878cc4-61a9-3515-bbb7-bd22a118b26b</t>
        </is>
      </c>
      <c r="B139" s="3" t="inlineStr">
        <is>
          <t>ラングミュア - ブロジェット膜堆積装置</t>
        </is>
      </c>
      <c r="C139" s="3" t="inlineStr">
        <is>
          <t>Langmuir-Blodgett Film Deposition System</t>
        </is>
      </c>
      <c r="D139" s="3" t="inlineStr"/>
      <c r="E139" s="3" t="inlineStr"/>
      <c r="F139" s="3" t="inlineStr">
        <is>
          <t>https://matvoc.nims.go.jp/entity/Q2231</t>
        </is>
      </c>
      <c r="G139" s="3" t="inlineStr">
        <is>
          <t>2022-07-11 04:36:42.734137+00</t>
        </is>
      </c>
    </row>
    <row r="140" ht="18.75" customHeight="1">
      <c r="A140" s="3" t="inlineStr">
        <is>
          <t>04947e2e-5453-fc90-a4c9-6bf6c26863d4</t>
        </is>
      </c>
      <c r="B140" s="3" t="inlineStr">
        <is>
          <t>プラズマ溶射装置</t>
        </is>
      </c>
      <c r="C140" s="3" t="inlineStr">
        <is>
          <t>Plasma Spray System</t>
        </is>
      </c>
      <c r="D140" s="3" t="inlineStr"/>
      <c r="E140" s="3" t="inlineStr"/>
      <c r="F140" s="3" t="inlineStr">
        <is>
          <t>https://matvoc.nims.go.jp/entity/Q2232</t>
        </is>
      </c>
      <c r="G140" s="3" t="inlineStr">
        <is>
          <t>2022-07-11 04:36:42.734137+00</t>
        </is>
      </c>
    </row>
    <row r="141" ht="18.75" customHeight="1">
      <c r="A141" s="3" t="inlineStr">
        <is>
          <t>a32b5e67-1976-600d-fcd1-481bafd442b5</t>
        </is>
      </c>
      <c r="B141" s="3" t="inlineStr">
        <is>
          <t>スッパタリング（スパッタ）</t>
        </is>
      </c>
      <c r="C141" s="3" t="inlineStr">
        <is>
          <t>Sputtering</t>
        </is>
      </c>
      <c r="D141" s="3" t="inlineStr"/>
      <c r="E141" s="3" t="inlineStr"/>
      <c r="F141" s="3" t="inlineStr">
        <is>
          <t>https://matvoc.nims.go.jp/entity/Q2233</t>
        </is>
      </c>
      <c r="G141" s="3" t="inlineStr">
        <is>
          <t>2022-07-11 04:36:42.734137+00</t>
        </is>
      </c>
    </row>
    <row r="142" ht="18.75" customHeight="1">
      <c r="A142" s="3" t="inlineStr">
        <is>
          <t>035262e0-9cc6-4af5-4e87-7bb451eefa69</t>
        </is>
      </c>
      <c r="B142" s="3" t="inlineStr">
        <is>
          <t>成形装置</t>
        </is>
      </c>
      <c r="C142" s="3" t="inlineStr">
        <is>
          <t>Molding,Forming</t>
        </is>
      </c>
      <c r="D142" s="3" t="inlineStr"/>
      <c r="E142" s="3" t="inlineStr"/>
      <c r="F142" s="3" t="inlineStr">
        <is>
          <t>https://matvoc.nims.go.jp/entity/Q2082</t>
        </is>
      </c>
      <c r="G142" s="3" t="inlineStr">
        <is>
          <t>2022-07-11 04:36:42.734137+00</t>
        </is>
      </c>
    </row>
    <row r="143" ht="18.75" customHeight="1">
      <c r="A143" s="3" t="inlineStr">
        <is>
          <t>517a8e5f-e8e4-7bfd-a4da-3a6fbcacecf1</t>
        </is>
      </c>
      <c r="B143" s="3" t="inlineStr">
        <is>
          <t>冷間圧延ローラー</t>
        </is>
      </c>
      <c r="C143" s="3" t="inlineStr">
        <is>
          <t>Cold Rollers</t>
        </is>
      </c>
      <c r="D143" s="3" t="inlineStr"/>
      <c r="E143" s="3" t="inlineStr"/>
      <c r="F143" s="3" t="inlineStr">
        <is>
          <t>https://matvoc.nims.go.jp/entity/Q2234</t>
        </is>
      </c>
      <c r="G143" s="3" t="inlineStr">
        <is>
          <t>2022-07-11 04:36:42.734137+00</t>
        </is>
      </c>
    </row>
    <row r="144" ht="18.75" customHeight="1">
      <c r="A144" s="3" t="inlineStr">
        <is>
          <t>5780fa89-658e-b898-f442-6ef06e82edb4</t>
        </is>
      </c>
      <c r="B144" s="3" t="inlineStr">
        <is>
          <t>引抜金型</t>
        </is>
      </c>
      <c r="C144" s="3" t="inlineStr">
        <is>
          <t>Drawing Die</t>
        </is>
      </c>
      <c r="D144" s="3" t="inlineStr"/>
      <c r="E144" s="3" t="inlineStr"/>
      <c r="F144" s="3" t="inlineStr">
        <is>
          <t>https://matvoc.nims.go.jp/entity/Q2235</t>
        </is>
      </c>
      <c r="G144" s="3" t="inlineStr">
        <is>
          <t>2022-07-11 04:36:42.734137+00</t>
        </is>
      </c>
    </row>
    <row r="145" ht="18.75" customHeight="1">
      <c r="A145" s="3" t="inlineStr">
        <is>
          <t>14183bf1-cdbc-6be8-f8a5-ad4df76d062b</t>
        </is>
      </c>
      <c r="B145" s="3" t="inlineStr">
        <is>
          <t>押出金型</t>
        </is>
      </c>
      <c r="C145" s="3" t="inlineStr">
        <is>
          <t>Extrusion Die</t>
        </is>
      </c>
      <c r="D145" s="3" t="inlineStr"/>
      <c r="E145" s="3" t="inlineStr"/>
      <c r="F145" s="3" t="inlineStr">
        <is>
          <t>https://matvoc.nims.go.jp/entity/Q2236</t>
        </is>
      </c>
      <c r="G145" s="3" t="inlineStr">
        <is>
          <t>2022-07-11 04:36:42.734137+00</t>
        </is>
      </c>
    </row>
    <row r="146" ht="18.75" customHeight="1">
      <c r="A146" s="3" t="inlineStr">
        <is>
          <t>e78aa7ec-19f7-922a-8f10-9322cac7842c</t>
        </is>
      </c>
      <c r="B146" s="3" t="inlineStr">
        <is>
          <t>鍛造機械</t>
        </is>
      </c>
      <c r="C146" s="3" t="inlineStr">
        <is>
          <t>Forging Equipment</t>
        </is>
      </c>
      <c r="D146" s="3" t="inlineStr"/>
      <c r="E146" s="3" t="inlineStr"/>
      <c r="F146" s="3" t="inlineStr">
        <is>
          <t>https://matvoc.nims.go.jp/entity/Q2237</t>
        </is>
      </c>
      <c r="G146" s="3" t="inlineStr">
        <is>
          <t>2022-07-11 04:36:42.734137+00</t>
        </is>
      </c>
    </row>
    <row r="147" ht="18.75" customHeight="1">
      <c r="A147" s="3" t="inlineStr">
        <is>
          <t>e8ff271e-ec9c-d122-0529-7aed2af0dbb7</t>
        </is>
      </c>
      <c r="B147" s="3" t="inlineStr">
        <is>
          <t>ホットプレス</t>
        </is>
      </c>
      <c r="C147" s="3" t="inlineStr">
        <is>
          <t>Hot Press</t>
        </is>
      </c>
      <c r="D147" s="3" t="inlineStr"/>
      <c r="E147" s="3" t="inlineStr"/>
      <c r="F147" s="3" t="inlineStr">
        <is>
          <t>https://matvoc.nims.go.jp/entity/Q2238</t>
        </is>
      </c>
      <c r="G147" s="3" t="inlineStr">
        <is>
          <t>2022-07-11 04:36:42.734137+00</t>
        </is>
      </c>
    </row>
    <row r="148" ht="18.75" customHeight="1">
      <c r="A148" s="3" t="inlineStr">
        <is>
          <t>42c1ae32-efe1-bd5b-d316-8aa804d3af7d</t>
        </is>
      </c>
      <c r="B148" s="3" t="inlineStr">
        <is>
          <t>熱間圧延ローラー</t>
        </is>
      </c>
      <c r="C148" s="3" t="inlineStr">
        <is>
          <t>Hot Rolling</t>
        </is>
      </c>
      <c r="D148" s="3" t="inlineStr"/>
      <c r="E148" s="3" t="inlineStr"/>
      <c r="F148" s="3" t="inlineStr">
        <is>
          <t>https://matvoc.nims.go.jp/entity/Q2239</t>
        </is>
      </c>
      <c r="G148" s="3" t="inlineStr">
        <is>
          <t>2022-07-11 04:36:42.734137+00</t>
        </is>
      </c>
    </row>
    <row r="149" ht="18.75" customHeight="1">
      <c r="A149" s="3" t="inlineStr">
        <is>
          <t>4bc5af9c-5b26-bba0-e038-e1ac1a3e5f9f</t>
        </is>
      </c>
      <c r="B149" s="3" t="inlineStr">
        <is>
          <t>粉砕機</t>
        </is>
      </c>
      <c r="C149" s="3" t="inlineStr">
        <is>
          <t>Mill</t>
        </is>
      </c>
      <c r="D149" s="3" t="inlineStr"/>
      <c r="E149" s="3" t="inlineStr"/>
      <c r="F149" s="3" t="inlineStr">
        <is>
          <t>https://matvoc.nims.go.jp/entity/Q2240</t>
        </is>
      </c>
      <c r="G149" s="3" t="inlineStr">
        <is>
          <t>2022-07-11 04:36:42.734137+00</t>
        </is>
      </c>
    </row>
    <row r="150" ht="18.75" customHeight="1">
      <c r="A150" s="3" t="inlineStr">
        <is>
          <t>04d740fc-90d9-37dc-e3a4-9d0e7c70dbbb</t>
        </is>
      </c>
      <c r="B150" s="3" t="inlineStr">
        <is>
          <t>鋳型</t>
        </is>
      </c>
      <c r="C150" s="3" t="inlineStr">
        <is>
          <t>Molding</t>
        </is>
      </c>
      <c r="D150" s="3" t="inlineStr"/>
      <c r="E150" s="3" t="inlineStr"/>
      <c r="F150" s="3" t="inlineStr">
        <is>
          <t>https://matvoc.nims.go.jp/entity/Q2262</t>
        </is>
      </c>
      <c r="G150" s="3" t="inlineStr">
        <is>
          <t>2022-07-11 04:36:42.734137+00</t>
        </is>
      </c>
    </row>
    <row r="151" ht="18.75" customHeight="1">
      <c r="A151" s="3" t="inlineStr">
        <is>
          <t>8cf7723e-dbc8-d23c-d0c5-9e94de12f98f</t>
        </is>
      </c>
      <c r="B151" s="3" t="inlineStr">
        <is>
          <t>3Dプリンタ</t>
        </is>
      </c>
      <c r="C151" s="3" t="inlineStr">
        <is>
          <t>3D Printer</t>
        </is>
      </c>
      <c r="D151" s="3" t="inlineStr"/>
      <c r="E151" s="3" t="inlineStr"/>
      <c r="F151" s="3" t="inlineStr">
        <is>
          <t>https://matvoc.nims.go.jp/entity/Q2241</t>
        </is>
      </c>
      <c r="G151" s="3" t="inlineStr">
        <is>
          <t>2022-07-11 04:36:42.734137+00</t>
        </is>
      </c>
    </row>
    <row r="152" ht="18.75" customHeight="1">
      <c r="A152" s="3" t="inlineStr">
        <is>
          <t>6e339ec0-31e9-0674-8a95-a7623ad41bea</t>
        </is>
      </c>
      <c r="B152" s="3" t="inlineStr">
        <is>
          <t>リソグラフィ</t>
        </is>
      </c>
      <c r="C152" s="3" t="inlineStr">
        <is>
          <t>Lithography</t>
        </is>
      </c>
      <c r="D152" s="3" t="inlineStr"/>
      <c r="E152" s="3" t="inlineStr"/>
      <c r="F152" s="3" t="inlineStr">
        <is>
          <t>https://matvoc.nims.go.jp/entity/Q2083</t>
        </is>
      </c>
      <c r="G152" s="3" t="inlineStr">
        <is>
          <t>2022-07-11 04:36:42.734137+00</t>
        </is>
      </c>
    </row>
    <row r="153" ht="18.75" customHeight="1">
      <c r="A153" s="3" t="inlineStr">
        <is>
          <t>f47a4970-5160-d114-691b-4e8da3509797</t>
        </is>
      </c>
      <c r="B153" s="3" t="inlineStr">
        <is>
          <t>光露光（マスクアライナ）</t>
        </is>
      </c>
      <c r="C153" s="3" t="inlineStr">
        <is>
          <t>Mask Aligner</t>
        </is>
      </c>
      <c r="D153" s="3" t="inlineStr"/>
      <c r="E153" s="3" t="inlineStr"/>
      <c r="F153" s="3" t="inlineStr">
        <is>
          <t>https://matvoc.nims.go.jp/entity/Q2242</t>
        </is>
      </c>
      <c r="G153" s="3" t="inlineStr">
        <is>
          <t>2022-07-11 04:36:42.734137+00</t>
        </is>
      </c>
    </row>
    <row r="154" ht="18.75" customHeight="1">
      <c r="A154" s="3" t="inlineStr">
        <is>
          <t>4f07320e-631e-6660-84b4-310edf8bdf53</t>
        </is>
      </c>
      <c r="B154" s="3" t="inlineStr">
        <is>
          <t>光露光（ステッパ）</t>
        </is>
      </c>
      <c r="C154" s="3" t="inlineStr">
        <is>
          <t>Stepper</t>
        </is>
      </c>
      <c r="D154" s="3" t="inlineStr"/>
      <c r="E154" s="3" t="inlineStr"/>
      <c r="F154" s="3" t="inlineStr">
        <is>
          <t>https://matvoc.nims.go.jp/entity/Q2243</t>
        </is>
      </c>
      <c r="G154" s="3" t="inlineStr">
        <is>
          <t>2022-07-11 04:36:42.734137+00</t>
        </is>
      </c>
    </row>
    <row r="155" ht="18.75" customHeight="1">
      <c r="A155" s="3" t="inlineStr">
        <is>
          <t>fa12e3c6-d3b1-7fb5-230c-e330b84a3b50</t>
        </is>
      </c>
      <c r="B155" s="3" t="inlineStr">
        <is>
          <t>光露光（マスクレス、直接描画）</t>
        </is>
      </c>
      <c r="C155" s="3" t="inlineStr">
        <is>
          <t>Maskless Exposure System</t>
        </is>
      </c>
      <c r="D155" s="3" t="inlineStr"/>
      <c r="E155" s="3" t="inlineStr"/>
      <c r="F155" s="3" t="inlineStr">
        <is>
          <t>https://matvoc.nims.go.jp/entity/Q2244</t>
        </is>
      </c>
      <c r="G155" s="3" t="inlineStr">
        <is>
          <t>2022-07-11 04:36:42.734137+00</t>
        </is>
      </c>
    </row>
    <row r="156" ht="18.75" customHeight="1">
      <c r="A156" s="3" t="inlineStr">
        <is>
          <t>351ff03e-330a-7c59-1053-c30417d3944e</t>
        </is>
      </c>
      <c r="B156" s="3" t="inlineStr">
        <is>
          <t>電子線描画（EB）</t>
        </is>
      </c>
      <c r="C156" s="3" t="inlineStr">
        <is>
          <t>Electron Beam Lithography</t>
        </is>
      </c>
      <c r="D156" s="3" t="inlineStr"/>
      <c r="E156" s="3" t="inlineStr"/>
      <c r="F156" s="3" t="inlineStr">
        <is>
          <t>https://matvoc.nims.go.jp/entity/Q2245</t>
        </is>
      </c>
      <c r="G156" s="3" t="inlineStr">
        <is>
          <t>2022-07-11 04:36:42.734137+00</t>
        </is>
      </c>
    </row>
    <row r="157" ht="18.75" customHeight="1">
      <c r="A157" s="3" t="inlineStr">
        <is>
          <t>bf99db62-9b22-8dbe-694b-263179fe42e2</t>
        </is>
      </c>
      <c r="B157" s="3" t="inlineStr">
        <is>
          <t>ナノインプリント</t>
        </is>
      </c>
      <c r="C157" s="3" t="inlineStr">
        <is>
          <t>Nanoimprint Lithography</t>
        </is>
      </c>
      <c r="D157" s="3" t="inlineStr"/>
      <c r="E157" s="3" t="inlineStr"/>
      <c r="F157" s="3" t="inlineStr">
        <is>
          <t>https://matvoc.nims.go.jp/entity/Q2246</t>
        </is>
      </c>
      <c r="G157" s="3" t="inlineStr">
        <is>
          <t>2022-07-11 04:36:42.734137+00</t>
        </is>
      </c>
    </row>
    <row r="158" ht="18.75" customHeight="1">
      <c r="A158" s="3" t="inlineStr">
        <is>
          <t>16eb7645-983e-a944-4664-46c838e24446</t>
        </is>
      </c>
      <c r="B158" s="3" t="inlineStr">
        <is>
          <t>膜加工・エッチング</t>
        </is>
      </c>
      <c r="C158" s="3" t="inlineStr">
        <is>
          <t>Etching</t>
        </is>
      </c>
      <c r="D158" s="3" t="inlineStr"/>
      <c r="E158" s="3" t="inlineStr"/>
      <c r="F158" s="3" t="inlineStr">
        <is>
          <t>https://matvoc.nims.go.jp/entity/Q2084</t>
        </is>
      </c>
      <c r="G158" s="3" t="inlineStr">
        <is>
          <t>2022-07-11 04:36:42.734137+00</t>
        </is>
      </c>
    </row>
    <row r="159" ht="18.75" customHeight="1">
      <c r="A159" s="3" t="inlineStr">
        <is>
          <t>d28cfd5c-9e50-3180-1641-076364e73e80</t>
        </is>
      </c>
      <c r="B159" s="3" t="inlineStr">
        <is>
          <t>ドライエッチング（RIE）</t>
        </is>
      </c>
      <c r="C159" s="3" t="inlineStr">
        <is>
          <t>Dry Etching(Reactive Ion Etching)</t>
        </is>
      </c>
      <c r="D159" s="3" t="inlineStr"/>
      <c r="E159" s="3" t="inlineStr"/>
      <c r="F159" s="3" t="inlineStr">
        <is>
          <t>https://matvoc.nims.go.jp/entity/Q2247</t>
        </is>
      </c>
      <c r="G159" s="3" t="inlineStr">
        <is>
          <t>2022-07-11 04:36:42.734137+00</t>
        </is>
      </c>
    </row>
    <row r="160" ht="18.75" customHeight="1">
      <c r="A160" s="3" t="inlineStr">
        <is>
          <t>da45157e-b388-bb07-3caf-3b526ac507b4</t>
        </is>
      </c>
      <c r="B160" s="3" t="inlineStr">
        <is>
          <t>ドライエッチング（ECR）</t>
        </is>
      </c>
      <c r="C160" s="3" t="inlineStr">
        <is>
          <t>Dry Etching(Electron Cyclotron Resonance-RIE)</t>
        </is>
      </c>
      <c r="D160" s="3" t="inlineStr"/>
      <c r="E160" s="3" t="inlineStr"/>
      <c r="F160" s="3" t="inlineStr">
        <is>
          <t>https://matvoc.nims.go.jp/entity/Q2248</t>
        </is>
      </c>
      <c r="G160" s="3" t="inlineStr">
        <is>
          <t>2022-07-11 04:36:42.734137+00</t>
        </is>
      </c>
    </row>
    <row r="161" ht="18.75" customHeight="1">
      <c r="A161" s="3" t="inlineStr">
        <is>
          <t>a96120be-a69f-8764-06a7-ec95b14a223e</t>
        </is>
      </c>
      <c r="B161" s="3" t="inlineStr">
        <is>
          <t>ドライエッチング（その他）</t>
        </is>
      </c>
      <c r="C161" s="3" t="inlineStr">
        <is>
          <t>Dry Etching(Others)</t>
        </is>
      </c>
      <c r="D161" s="3" t="inlineStr"/>
      <c r="E161" s="3" t="inlineStr"/>
      <c r="F161" s="3" t="inlineStr">
        <is>
          <t>https://matvoc.nims.go.jp/entity/Q2249</t>
        </is>
      </c>
      <c r="G161" s="3" t="inlineStr">
        <is>
          <t>2022-07-11 04:36:42.734137+00</t>
        </is>
      </c>
    </row>
    <row r="162" ht="18.75" customHeight="1">
      <c r="A162" s="3" t="inlineStr">
        <is>
          <t>55cfd3a1-8836-7b3a-5b06-23889ebd106c</t>
        </is>
      </c>
      <c r="B162" s="3" t="inlineStr">
        <is>
          <t>ウェット／ガスエッチング</t>
        </is>
      </c>
      <c r="C162" s="3" t="inlineStr">
        <is>
          <t>Wet Etching/Gas Etching</t>
        </is>
      </c>
      <c r="D162" s="3" t="inlineStr"/>
      <c r="E162" s="3" t="inlineStr"/>
      <c r="F162" s="3" t="inlineStr">
        <is>
          <t>https://matvoc.nims.go.jp/entity/Q2250</t>
        </is>
      </c>
      <c r="G162" s="3" t="inlineStr">
        <is>
          <t>2022-07-11 04:36:42.734137+00</t>
        </is>
      </c>
    </row>
    <row r="163" ht="18.75" customHeight="1">
      <c r="A163" s="3" t="inlineStr">
        <is>
          <t>4d3a79b3-1287-e2ab-bc10-9b1da7432adf</t>
        </is>
      </c>
      <c r="B163" s="3" t="inlineStr">
        <is>
          <t>レーザー加工</t>
        </is>
      </c>
      <c r="C163" s="3" t="inlineStr">
        <is>
          <t>Laser Processing</t>
        </is>
      </c>
      <c r="D163" s="3" t="inlineStr"/>
      <c r="E163" s="3" t="inlineStr"/>
      <c r="F163" s="3" t="inlineStr">
        <is>
          <t>https://matvoc.nims.go.jp/entity/Q2251</t>
        </is>
      </c>
      <c r="G163" s="3" t="inlineStr">
        <is>
          <t>2022-07-11 04:36:42.734137+00</t>
        </is>
      </c>
    </row>
    <row r="164" ht="18.75" customHeight="1">
      <c r="A164" s="3" t="inlineStr">
        <is>
          <t>c9149367-f39d-22f1-9577-e4240a27c70f</t>
        </is>
      </c>
      <c r="B164" s="3" t="inlineStr">
        <is>
          <t>その他加工装置</t>
        </is>
      </c>
      <c r="C164" s="3" t="inlineStr">
        <is>
          <t>Processing</t>
        </is>
      </c>
      <c r="D164" s="3" t="inlineStr"/>
      <c r="E164" s="3" t="inlineStr"/>
      <c r="F164" s="3" t="inlineStr">
        <is>
          <t>https://matvoc.nims.go.jp/entity/Q2085</t>
        </is>
      </c>
      <c r="G164" s="3" t="inlineStr">
        <is>
          <t>2022-07-11 04:36:42.734137+00</t>
        </is>
      </c>
    </row>
    <row r="165" ht="18.75" customHeight="1">
      <c r="A165" s="3" t="inlineStr">
        <is>
          <t>ba9be651-befc-dff1-e22a-cc1d5c84a186</t>
        </is>
      </c>
      <c r="B165" s="3" t="inlineStr">
        <is>
          <t>酸化</t>
        </is>
      </c>
      <c r="C165" s="3" t="inlineStr">
        <is>
          <t>Oxidization System</t>
        </is>
      </c>
      <c r="D165" s="3" t="inlineStr"/>
      <c r="E165" s="3" t="inlineStr"/>
      <c r="F165" s="3" t="inlineStr">
        <is>
          <t>https://matvoc.nims.go.jp/entity/Q2252</t>
        </is>
      </c>
      <c r="G165" s="3" t="inlineStr">
        <is>
          <t>2022-07-11 04:36:42.734137+00</t>
        </is>
      </c>
    </row>
    <row r="166" ht="18.75" customHeight="1">
      <c r="A166" s="3" t="inlineStr">
        <is>
          <t>3f8f4608-d113-7ef7-a144-91174584b282</t>
        </is>
      </c>
      <c r="B166" s="3" t="inlineStr">
        <is>
          <t>拡散</t>
        </is>
      </c>
      <c r="C166" s="3" t="inlineStr">
        <is>
          <t>Diffusion System</t>
        </is>
      </c>
      <c r="D166" s="3" t="inlineStr"/>
      <c r="E166" s="3" t="inlineStr"/>
      <c r="F166" s="3" t="inlineStr">
        <is>
          <t>https://matvoc.nims.go.jp/entity/Q2253</t>
        </is>
      </c>
      <c r="G166" s="3" t="inlineStr">
        <is>
          <t>2022-07-11 04:36:42.734137+00</t>
        </is>
      </c>
    </row>
    <row r="167" ht="18.75" customHeight="1">
      <c r="A167" s="3" t="inlineStr">
        <is>
          <t>916c0c78-49c9-6f7b-49aa-141bf801864e</t>
        </is>
      </c>
      <c r="B167" s="3" t="inlineStr">
        <is>
          <t>イオン注入</t>
        </is>
      </c>
      <c r="C167" s="3" t="inlineStr">
        <is>
          <t>Ion Implantation</t>
        </is>
      </c>
      <c r="D167" s="3" t="inlineStr"/>
      <c r="E167" s="3" t="inlineStr"/>
      <c r="F167" s="3" t="inlineStr">
        <is>
          <t>https://matvoc.nims.go.jp/entity/Q2254</t>
        </is>
      </c>
      <c r="G167" s="3" t="inlineStr">
        <is>
          <t>2022-07-11 04:36:42.734137+00</t>
        </is>
      </c>
    </row>
    <row r="168" ht="18.75" customHeight="1">
      <c r="A168" s="3" t="inlineStr">
        <is>
          <t>46ebcbe1-18a5-27a5-7679-f8fc689abd94</t>
        </is>
      </c>
      <c r="B168" s="3" t="inlineStr">
        <is>
          <t>接合</t>
        </is>
      </c>
      <c r="C168" s="3" t="inlineStr">
        <is>
          <t>Bonder</t>
        </is>
      </c>
      <c r="D168" s="3" t="inlineStr"/>
      <c r="E168" s="3" t="inlineStr"/>
      <c r="F168" s="3" t="inlineStr">
        <is>
          <t>https://matvoc.nims.go.jp/entity/Q2255</t>
        </is>
      </c>
      <c r="G168" s="3" t="inlineStr">
        <is>
          <t>2022-07-11 04:36:42.734137+00</t>
        </is>
      </c>
    </row>
    <row r="169" ht="18.75" customHeight="1">
      <c r="A169" s="3" t="inlineStr">
        <is>
          <t>6e378247-ad78-60aa-2886-bc1cd8d0395e</t>
        </is>
      </c>
      <c r="B169" s="3" t="inlineStr">
        <is>
          <t>レジスト塗布</t>
        </is>
      </c>
      <c r="C169" s="3" t="inlineStr">
        <is>
          <t>Photoresist Spin Coater</t>
        </is>
      </c>
      <c r="D169" s="3" t="inlineStr"/>
      <c r="E169" s="3" t="inlineStr"/>
      <c r="F169" s="3" t="inlineStr">
        <is>
          <t>https://matvoc.nims.go.jp/entity/Q2256</t>
        </is>
      </c>
      <c r="G169" s="3" t="inlineStr">
        <is>
          <t>2022-07-11 04:36:42.734137+00</t>
        </is>
      </c>
    </row>
    <row r="170" ht="18.75" customHeight="1">
      <c r="A170" s="3" t="inlineStr">
        <is>
          <t>33b7f895-2199-99b9-b2fb-c25db239d066</t>
        </is>
      </c>
      <c r="B170" s="3" t="inlineStr">
        <is>
          <t>現像装置</t>
        </is>
      </c>
      <c r="C170" s="3" t="inlineStr">
        <is>
          <t>Photoresist Developer</t>
        </is>
      </c>
      <c r="D170" s="3" t="inlineStr"/>
      <c r="E170" s="3" t="inlineStr"/>
      <c r="F170" s="3" t="inlineStr">
        <is>
          <t>https://matvoc.nims.go.jp/entity/Q2257</t>
        </is>
      </c>
      <c r="G170" s="3" t="inlineStr">
        <is>
          <t>2022-07-11 04:36:42.734137+00</t>
        </is>
      </c>
    </row>
    <row r="171" ht="18.75" customHeight="1">
      <c r="A171" s="3" t="inlineStr">
        <is>
          <t>b86dfaaa-7886-7cf0-1f53-08fd7da01420</t>
        </is>
      </c>
      <c r="B171" s="3" t="inlineStr">
        <is>
          <t>合成設備</t>
        </is>
      </c>
      <c r="C171" s="3" t="inlineStr">
        <is>
          <t>Synthesis</t>
        </is>
      </c>
      <c r="D171" s="3" t="inlineStr"/>
      <c r="E171" s="3" t="inlineStr"/>
      <c r="F171" s="3" t="inlineStr">
        <is>
          <t>https://matvoc.nims.go.jp/entity/Q2086</t>
        </is>
      </c>
      <c r="G171" s="3" t="inlineStr">
        <is>
          <t>2022-07-11 04:36:42.734137+00</t>
        </is>
      </c>
    </row>
    <row r="172" ht="18.75" customHeight="1">
      <c r="A172" s="3" t="inlineStr">
        <is>
          <t>830cdcce-a774-adbe-2bff-5d84984aa7b5</t>
        </is>
      </c>
      <c r="B172" s="3" t="inlineStr">
        <is>
          <t>分注機</t>
        </is>
      </c>
      <c r="C172" s="3" t="inlineStr">
        <is>
          <t>Dispenser</t>
        </is>
      </c>
      <c r="D172" s="3" t="inlineStr"/>
      <c r="E172" s="3" t="inlineStr"/>
      <c r="F172" s="3" t="inlineStr">
        <is>
          <t>https://matvoc.nims.go.jp/entity/Q2258</t>
        </is>
      </c>
      <c r="G172" s="3" t="inlineStr">
        <is>
          <t>2022-07-11 04:36:42.734137+00</t>
        </is>
      </c>
    </row>
    <row r="173" ht="18.75" customHeight="1">
      <c r="A173" s="3" t="inlineStr">
        <is>
          <t>36a0320c-aba2-e894-553f-fb0bb3ef3f12</t>
        </is>
      </c>
      <c r="B173" s="3" t="inlineStr">
        <is>
          <t>遠心機</t>
        </is>
      </c>
      <c r="C173" s="3" t="inlineStr">
        <is>
          <t>Centrifuge</t>
        </is>
      </c>
      <c r="D173" s="3" t="inlineStr"/>
      <c r="E173" s="3" t="inlineStr"/>
      <c r="F173" s="3" t="inlineStr">
        <is>
          <t>https://matvoc.nims.go.jp/entity/Q2259</t>
        </is>
      </c>
      <c r="G173" s="3" t="inlineStr">
        <is>
          <t>2022-07-11 04:36:42.734137+00</t>
        </is>
      </c>
    </row>
    <row r="174" ht="18.75" customHeight="1">
      <c r="A174" s="3" t="inlineStr">
        <is>
          <t>db84df1f-4e97-af57-99e6-ae160534c851</t>
        </is>
      </c>
      <c r="B174" s="3" t="inlineStr">
        <is>
          <t>撹拌機</t>
        </is>
      </c>
      <c r="C174" s="3" t="inlineStr">
        <is>
          <t>Stirrer</t>
        </is>
      </c>
      <c r="D174" s="3" t="inlineStr"/>
      <c r="E174" s="3" t="inlineStr"/>
      <c r="F174" s="3" t="inlineStr">
        <is>
          <t>https://matvoc.nims.go.jp/entity/Q2260</t>
        </is>
      </c>
      <c r="G174" s="3" t="inlineStr">
        <is>
          <t>2022-07-11 04:36:42.734137+00</t>
        </is>
      </c>
    </row>
    <row r="175" ht="18.75" customHeight="1">
      <c r="A175" s="3" t="inlineStr">
        <is>
          <t>632188be-71ec-c06f-f8ba-db77e162a2e0</t>
        </is>
      </c>
      <c r="B175" s="3" t="inlineStr">
        <is>
          <t>計測装置</t>
        </is>
      </c>
      <c r="C175" s="3" t="inlineStr">
        <is>
          <t>Characterization Instrument</t>
        </is>
      </c>
      <c r="D175" s="3" t="inlineStr"/>
      <c r="E175" s="3" t="inlineStr"/>
      <c r="F175" s="3" t="inlineStr">
        <is>
          <t>https://matvoc.nims.go.jp/entity/Q1884</t>
        </is>
      </c>
      <c r="G175" s="3" t="inlineStr">
        <is>
          <t>2022-07-11 04:36:42.734137+00</t>
        </is>
      </c>
    </row>
    <row r="176" ht="18.75" customHeight="1">
      <c r="A176" s="3" t="inlineStr">
        <is>
          <t>ce043f2f-1bc0-1a96-f854-c8d5c633dee4</t>
        </is>
      </c>
      <c r="B176" s="3" t="inlineStr">
        <is>
          <t>磁気共鳴</t>
        </is>
      </c>
      <c r="C176" s="3" t="inlineStr">
        <is>
          <t>Magnetic Resonance</t>
        </is>
      </c>
      <c r="D176" s="3" t="inlineStr"/>
      <c r="E176" s="3" t="inlineStr"/>
      <c r="F176" s="3" t="inlineStr">
        <is>
          <t>https://matvoc.nims.go.jp/entity/Q1886</t>
        </is>
      </c>
      <c r="G176" s="3" t="inlineStr">
        <is>
          <t>2022-07-11 04:36:42.734137+00</t>
        </is>
      </c>
    </row>
    <row r="177" ht="18.75" customHeight="1">
      <c r="A177" s="3" t="inlineStr">
        <is>
          <t>c3612d5d-72d8-3fb2-d278-f2fc48b24f34</t>
        </is>
      </c>
      <c r="B177" s="3" t="inlineStr">
        <is>
          <t>核磁気共鳴装置</t>
        </is>
      </c>
      <c r="C177" s="3" t="inlineStr">
        <is>
          <t>Nuclear Magnetic Resonance</t>
        </is>
      </c>
      <c r="D177" s="3" t="inlineStr"/>
      <c r="E177" s="3" t="inlineStr"/>
      <c r="F177" s="3" t="inlineStr">
        <is>
          <t>https://matvoc.nims.go.jp/entity/Q2108</t>
        </is>
      </c>
      <c r="G177" s="3" t="inlineStr">
        <is>
          <t>2022-07-11 04:36:42.734137+00</t>
        </is>
      </c>
    </row>
    <row r="178" ht="18.75" customHeight="1">
      <c r="A178" s="3" t="inlineStr">
        <is>
          <t>a154317d-f57a-ab21-0deb-dcec47e92b31</t>
        </is>
      </c>
      <c r="B178" s="3" t="inlineStr">
        <is>
          <t>磁気共鳴画像診断</t>
        </is>
      </c>
      <c r="C178" s="3" t="inlineStr">
        <is>
          <t>Magnetic Resonance Imaging</t>
        </is>
      </c>
      <c r="D178" s="3" t="inlineStr"/>
      <c r="E178" s="3" t="inlineStr"/>
      <c r="F178" s="3" t="inlineStr">
        <is>
          <t>https://matvoc.nims.go.jp/entity/Q1933</t>
        </is>
      </c>
      <c r="G178" s="3" t="inlineStr">
        <is>
          <t>2022-07-11 04:36:42.734137+00</t>
        </is>
      </c>
    </row>
    <row r="179" ht="18.75" customHeight="1">
      <c r="A179" s="3" t="inlineStr">
        <is>
          <t>2fa6eb12-2513-85b0-b4eb-18d655381120</t>
        </is>
      </c>
      <c r="B179" s="3" t="inlineStr">
        <is>
          <t>電子スピン共鳴</t>
        </is>
      </c>
      <c r="C179" s="3" t="inlineStr">
        <is>
          <t>Electron Spin Resonance</t>
        </is>
      </c>
      <c r="D179" s="3" t="inlineStr"/>
      <c r="E179" s="3" t="inlineStr"/>
      <c r="F179" s="3" t="inlineStr">
        <is>
          <t>https://matvoc.nims.go.jp/entity/Q1929</t>
        </is>
      </c>
      <c r="G179" s="3" t="inlineStr">
        <is>
          <t>2022-07-11 04:36:42.734137+00</t>
        </is>
      </c>
    </row>
    <row r="180" ht="18.75" customHeight="1">
      <c r="A180" s="3" t="inlineStr">
        <is>
          <t>69b1984e-09b1-6f51-39f7-1cc828cdbe6f</t>
        </is>
      </c>
      <c r="B180" s="3" t="inlineStr">
        <is>
          <t>電子顕微鏡</t>
        </is>
      </c>
      <c r="C180" s="3" t="inlineStr">
        <is>
          <t>Electron Microscope</t>
        </is>
      </c>
      <c r="D180" s="3" t="inlineStr"/>
      <c r="E180" s="3" t="inlineStr"/>
      <c r="F180" s="3" t="inlineStr">
        <is>
          <t>https://matvoc.nims.go.jp/entity/Q1889</t>
        </is>
      </c>
      <c r="G180" s="3" t="inlineStr">
        <is>
          <t>2022-07-11 04:36:42.734137+00</t>
        </is>
      </c>
    </row>
    <row r="181" ht="18.75" customHeight="1">
      <c r="A181" s="3" t="inlineStr">
        <is>
          <t>6d66f347-5d24-0714-7f7c-ce00ea124a9a</t>
        </is>
      </c>
      <c r="B181" s="3" t="inlineStr">
        <is>
          <t>透過型電子顕微鏡</t>
        </is>
      </c>
      <c r="C181" s="3" t="inlineStr">
        <is>
          <t>Transmission Electron Microscope</t>
        </is>
      </c>
      <c r="D181" s="3" t="inlineStr"/>
      <c r="E181" s="3" t="inlineStr"/>
      <c r="F181" s="3" t="inlineStr">
        <is>
          <t>https://matvoc.nims.go.jp/entity/Q1934</t>
        </is>
      </c>
      <c r="G181" s="3" t="inlineStr">
        <is>
          <t>2022-07-11 04:36:42.734137+00</t>
        </is>
      </c>
    </row>
    <row r="182" ht="18.75" customHeight="1">
      <c r="A182" s="3" t="inlineStr">
        <is>
          <t>9ac2c04c-e21f-4543-3c97-0a962d566460</t>
        </is>
      </c>
      <c r="B182" s="3" t="inlineStr">
        <is>
          <t>走査型透過電子顕微鏡</t>
        </is>
      </c>
      <c r="C182" s="3" t="inlineStr">
        <is>
          <t>Scanning Transmission Electron Microscope</t>
        </is>
      </c>
      <c r="D182" s="3" t="inlineStr"/>
      <c r="E182" s="3" t="inlineStr"/>
      <c r="F182" s="3" t="inlineStr">
        <is>
          <t>https://matvoc.nims.go.jp/entity/Q1935</t>
        </is>
      </c>
      <c r="G182" s="3" t="inlineStr">
        <is>
          <t>2022-07-11 04:36:42.734137+00</t>
        </is>
      </c>
    </row>
    <row r="183" ht="18.75" customHeight="1">
      <c r="A183" s="3" t="inlineStr">
        <is>
          <t>eefd0d7a-3bc9-2796-679c-ecc6f5d933f1</t>
        </is>
      </c>
      <c r="B183" s="3" t="inlineStr">
        <is>
          <t>走査型電子顕微鏡</t>
        </is>
      </c>
      <c r="C183" s="3" t="inlineStr">
        <is>
          <t>Scannning Electron Microscope</t>
        </is>
      </c>
      <c r="D183" s="3" t="inlineStr"/>
      <c r="E183" s="3" t="inlineStr"/>
      <c r="F183" s="3" t="inlineStr">
        <is>
          <t>https://matvoc.nims.go.jp/entity/Q1936</t>
        </is>
      </c>
      <c r="G183" s="3" t="inlineStr">
        <is>
          <t>2022-07-11 04:36:42.734137+00</t>
        </is>
      </c>
    </row>
    <row r="184" ht="18.75" customHeight="1">
      <c r="A184" s="3" t="inlineStr">
        <is>
          <t>cf621da8-59d1-f2a9-66a5-f1bf38613e0e</t>
        </is>
      </c>
      <c r="B184" s="3" t="inlineStr">
        <is>
          <t>超高圧電子顕微鏡</t>
        </is>
      </c>
      <c r="C184" s="3" t="inlineStr">
        <is>
          <t>Ultra-high Voltage Electron Microscope</t>
        </is>
      </c>
      <c r="D184" s="3" t="inlineStr"/>
      <c r="E184" s="3" t="inlineStr"/>
      <c r="F184" s="3" t="inlineStr">
        <is>
          <t>https://matvoc.nims.go.jp/entity/Q1937</t>
        </is>
      </c>
      <c r="G184" s="3" t="inlineStr">
        <is>
          <t>2022-07-11 04:36:42.734137+00</t>
        </is>
      </c>
    </row>
    <row r="185" ht="18.75" customHeight="1">
      <c r="A185" s="3" t="inlineStr">
        <is>
          <t>7e882eec-11b0-e695-31ef-de2146c66375</t>
        </is>
      </c>
      <c r="B185" s="3" t="inlineStr">
        <is>
          <t>クライオ電子顕微鏡</t>
        </is>
      </c>
      <c r="C185" s="3" t="inlineStr">
        <is>
          <t>Cryo-Electron Microscope</t>
        </is>
      </c>
      <c r="D185" s="3" t="inlineStr"/>
      <c r="E185" s="3" t="inlineStr"/>
      <c r="F185" s="3" t="inlineStr">
        <is>
          <t>https://matvoc.nims.go.jp/entity/Q1938</t>
        </is>
      </c>
      <c r="G185" s="3" t="inlineStr">
        <is>
          <t>2022-07-11 04:36:42.734137+00</t>
        </is>
      </c>
    </row>
    <row r="186" ht="18.75" customHeight="1">
      <c r="A186" s="3" t="inlineStr">
        <is>
          <t>61c48cf4-3ec6-2e83-6680-fb83f800c306</t>
        </is>
      </c>
      <c r="B186" s="3" t="inlineStr">
        <is>
          <t>三次元電子顕微鏡</t>
        </is>
      </c>
      <c r="C186" s="3" t="inlineStr">
        <is>
          <t>3D Electron Microscope</t>
        </is>
      </c>
      <c r="D186" s="3" t="inlineStr"/>
      <c r="E186" s="3" t="inlineStr"/>
      <c r="F186" s="3" t="inlineStr">
        <is>
          <t>https://matvoc.nims.go.jp/entity/Q1939</t>
        </is>
      </c>
      <c r="G186" s="3" t="inlineStr">
        <is>
          <t>2022-07-11 04:36:42.734137+00</t>
        </is>
      </c>
    </row>
    <row r="187" ht="18.75" customHeight="1">
      <c r="A187" s="3" t="inlineStr">
        <is>
          <t>1bc80a36-7caa-f24b-7264-0dbcdf24e383</t>
        </is>
      </c>
      <c r="B187" s="3" t="inlineStr">
        <is>
          <t>光・電子相関顕微鏡</t>
        </is>
      </c>
      <c r="C187" s="3" t="inlineStr">
        <is>
          <t>Correlative Microscopy</t>
        </is>
      </c>
      <c r="D187" s="3" t="inlineStr"/>
      <c r="E187" s="3" t="inlineStr"/>
      <c r="F187" s="3" t="inlineStr">
        <is>
          <t>https://matvoc.nims.go.jp/entity/Q1940</t>
        </is>
      </c>
      <c r="G187" s="3" t="inlineStr">
        <is>
          <t>2022-07-11 04:36:42.734137+00</t>
        </is>
      </c>
    </row>
    <row r="188" ht="18.75" customHeight="1">
      <c r="A188" s="3" t="inlineStr">
        <is>
          <t>3e1f1ec0-6610-3e79-846f-68120dca2758</t>
        </is>
      </c>
      <c r="B188" s="3" t="inlineStr">
        <is>
          <t>光電子顕微鏡</t>
        </is>
      </c>
      <c r="C188" s="3" t="inlineStr">
        <is>
          <t>Photoemission Electron Microscope</t>
        </is>
      </c>
      <c r="D188" s="3" t="inlineStr"/>
      <c r="E188" s="3" t="inlineStr"/>
      <c r="F188" s="3" t="inlineStr">
        <is>
          <t>https://matvoc.nims.go.jp/entity/Q1941</t>
        </is>
      </c>
      <c r="G188" s="3" t="inlineStr">
        <is>
          <t>2022-07-11 04:36:42.734137+00</t>
        </is>
      </c>
    </row>
    <row r="189" ht="18.75" customHeight="1">
      <c r="A189" s="3" t="inlineStr">
        <is>
          <t>090d6535-655d-3e4a-da78-e80dca0bd0b5</t>
        </is>
      </c>
      <c r="B189" s="3" t="inlineStr">
        <is>
          <t>低エネルギー電子顕微鏡</t>
        </is>
      </c>
      <c r="C189" s="3" t="inlineStr">
        <is>
          <t>Low-energy Electron Microscope</t>
        </is>
      </c>
      <c r="D189" s="3" t="inlineStr"/>
      <c r="E189" s="3" t="inlineStr"/>
      <c r="F189" s="3" t="inlineStr">
        <is>
          <t>https://matvoc.nims.go.jp/entity/Q1942</t>
        </is>
      </c>
      <c r="G189" s="3" t="inlineStr">
        <is>
          <t>2022-07-11 04:36:42.734137+00</t>
        </is>
      </c>
    </row>
    <row r="190" ht="18.75" customHeight="1">
      <c r="A190" s="3" t="inlineStr">
        <is>
          <t>9ea607e7-01e2-3595-9aa5-5c443ead9572</t>
        </is>
      </c>
      <c r="B190" s="3" t="inlineStr">
        <is>
          <t>電子線プローブマイクロアナライザー</t>
        </is>
      </c>
      <c r="C190" s="3" t="inlineStr">
        <is>
          <t>Electron Probe Micro Analyzer</t>
        </is>
      </c>
      <c r="D190" s="3" t="inlineStr"/>
      <c r="E190" s="3" t="inlineStr"/>
      <c r="F190" s="3" t="inlineStr">
        <is>
          <t>https://matvoc.nims.go.jp/entity/Q1930</t>
        </is>
      </c>
      <c r="G190" s="3" t="inlineStr">
        <is>
          <t>2022-07-11 04:36:42.734137+00</t>
        </is>
      </c>
    </row>
    <row r="191" ht="18.75" customHeight="1">
      <c r="A191" s="3" t="inlineStr">
        <is>
          <t>4e6a790c-5ced-53e9-183a-ec0f869d2a84</t>
        </is>
      </c>
      <c r="B191" s="3" t="inlineStr">
        <is>
          <t>試料作成・加工</t>
        </is>
      </c>
      <c r="C191" s="3" t="inlineStr">
        <is>
          <t>Sample Prepration</t>
        </is>
      </c>
      <c r="D191" s="3" t="inlineStr"/>
      <c r="E191" s="3" t="inlineStr"/>
      <c r="F191" s="3" t="inlineStr">
        <is>
          <t>https://matvoc.nims.go.jp/entity/Q1890</t>
        </is>
      </c>
      <c r="G191" s="3" t="inlineStr">
        <is>
          <t>2022-07-11 04:36:42.734137+00</t>
        </is>
      </c>
    </row>
    <row r="192" ht="18.75" customHeight="1">
      <c r="A192" s="3" t="inlineStr">
        <is>
          <t>2000a06d-8374-6660-acdb-7e5bb0856a85</t>
        </is>
      </c>
      <c r="B192" s="3" t="inlineStr">
        <is>
          <t>イオンミリング</t>
        </is>
      </c>
      <c r="C192" s="3" t="inlineStr">
        <is>
          <t>Ion Milling</t>
        </is>
      </c>
      <c r="D192" s="3" t="inlineStr"/>
      <c r="E192" s="3" t="inlineStr"/>
      <c r="F192" s="3" t="inlineStr">
        <is>
          <t>https://matvoc.nims.go.jp/entity/Q1943</t>
        </is>
      </c>
      <c r="G192" s="3" t="inlineStr">
        <is>
          <t>2022-07-11 04:36:42.734137+00</t>
        </is>
      </c>
    </row>
    <row r="193" ht="18.75" customHeight="1">
      <c r="A193" s="3" t="inlineStr">
        <is>
          <t>1c4526fa-7569-3baf-24dc-2ef00c5cfb77</t>
        </is>
      </c>
      <c r="B193" s="3" t="inlineStr">
        <is>
          <t>集束イオンビーム</t>
        </is>
      </c>
      <c r="C193" s="3" t="inlineStr">
        <is>
          <t>Focused Ion Beam</t>
        </is>
      </c>
      <c r="D193" s="3" t="inlineStr"/>
      <c r="E193" s="3" t="inlineStr"/>
      <c r="F193" s="3" t="inlineStr">
        <is>
          <t>https://matvoc.nims.go.jp/entity/Q1944</t>
        </is>
      </c>
      <c r="G193" s="3" t="inlineStr">
        <is>
          <t>2022-07-11 04:36:42.734137+00</t>
        </is>
      </c>
    </row>
    <row r="194" ht="18.75" customHeight="1">
      <c r="A194" s="3" t="inlineStr">
        <is>
          <t>d901e594-40a8-e7a8-9c0e-9c1225662224</t>
        </is>
      </c>
      <c r="B194" s="3" t="inlineStr">
        <is>
          <t>ウルトラミクロトーム</t>
        </is>
      </c>
      <c r="C194" s="3" t="inlineStr">
        <is>
          <t>Ultramicrotome</t>
        </is>
      </c>
      <c r="D194" s="3" t="inlineStr"/>
      <c r="E194" s="3" t="inlineStr"/>
      <c r="F194" s="3" t="inlineStr">
        <is>
          <t>https://matvoc.nims.go.jp/entity/Q1931</t>
        </is>
      </c>
      <c r="G194" s="3" t="inlineStr">
        <is>
          <t>2022-07-11 04:36:42.734137+00</t>
        </is>
      </c>
    </row>
    <row r="195" ht="18.75" customHeight="1">
      <c r="A195" s="3" t="inlineStr">
        <is>
          <t>760a79e1-54b1-c6ad-2fdf-87fe621bce35</t>
        </is>
      </c>
      <c r="B195" s="3" t="inlineStr">
        <is>
          <t>光学顕微鏡</t>
        </is>
      </c>
      <c r="C195" s="3" t="inlineStr">
        <is>
          <t>Optical Microscope</t>
        </is>
      </c>
      <c r="D195" s="3" t="inlineStr"/>
      <c r="E195" s="3" t="inlineStr"/>
      <c r="F195" s="3" t="inlineStr">
        <is>
          <t>https://matvoc.nims.go.jp/entity/Q1891</t>
        </is>
      </c>
      <c r="G195" s="3" t="inlineStr">
        <is>
          <t>2022-07-11 04:36:42.734137+00</t>
        </is>
      </c>
    </row>
    <row r="196" ht="18.75" customHeight="1">
      <c r="A196" s="3" t="inlineStr">
        <is>
          <t>e55af366-adff-cbb0-8043-19503b20efb8</t>
        </is>
      </c>
      <c r="B196" s="3" t="inlineStr">
        <is>
          <t>共焦点レーザー走査型顕微鏡</t>
        </is>
      </c>
      <c r="C196" s="3" t="inlineStr">
        <is>
          <t>Confocal Laser Scanning Microscope</t>
        </is>
      </c>
      <c r="D196" s="3" t="inlineStr"/>
      <c r="E196" s="3" t="inlineStr"/>
      <c r="F196" s="3" t="inlineStr">
        <is>
          <t>https://matvoc.nims.go.jp/entity/Q1945</t>
        </is>
      </c>
      <c r="G196" s="3" t="inlineStr">
        <is>
          <t>2022-07-11 04:36:42.734137+00</t>
        </is>
      </c>
    </row>
    <row r="197" ht="18.75" customHeight="1">
      <c r="A197" s="3" t="inlineStr">
        <is>
          <t>388c2e56-3a10-8097-00cd-722408cb2288</t>
        </is>
      </c>
      <c r="B197" s="3" t="inlineStr">
        <is>
          <t>蛍光顕微鏡</t>
        </is>
      </c>
      <c r="C197" s="3" t="inlineStr">
        <is>
          <t>Fluorescence Microscope</t>
        </is>
      </c>
      <c r="D197" s="3" t="inlineStr"/>
      <c r="E197" s="3" t="inlineStr"/>
      <c r="F197" s="3" t="inlineStr">
        <is>
          <t>https://matvoc.nims.go.jp/entity/Q1946</t>
        </is>
      </c>
      <c r="G197" s="3" t="inlineStr">
        <is>
          <t>2022-07-11 04:36:42.734137+00</t>
        </is>
      </c>
    </row>
    <row r="198" ht="18.75" customHeight="1">
      <c r="A198" s="3" t="inlineStr">
        <is>
          <t>5e166ac4-bfcd-457a-84bc-8626abe9188f</t>
        </is>
      </c>
      <c r="B198" s="3" t="inlineStr">
        <is>
          <t>購入元</t>
        </is>
      </c>
      <c r="C198" s="3" t="inlineStr">
        <is>
          <t>Supplier</t>
        </is>
      </c>
      <c r="D198" s="3" t="inlineStr"/>
      <c r="E198" s="3" t="inlineStr"/>
      <c r="F198" s="3" t="inlineStr">
        <is>
          <t>NULL</t>
        </is>
      </c>
      <c r="G198" s="3" t="inlineStr">
        <is>
          <t>2022-10-11 06:12:52.876335+00</t>
        </is>
      </c>
    </row>
    <row r="199" ht="18.75" customHeight="1">
      <c r="A199" s="3" t="inlineStr">
        <is>
          <t>e854d8d4-a9ce-a6c2-fc35-aaa029d3ceee</t>
        </is>
      </c>
      <c r="B199" s="3" t="inlineStr">
        <is>
          <t>実体顕微鏡</t>
        </is>
      </c>
      <c r="C199" s="3" t="inlineStr">
        <is>
          <t>Stereoscopic Microscope</t>
        </is>
      </c>
      <c r="D199" s="3" t="inlineStr"/>
      <c r="E199" s="3" t="inlineStr"/>
      <c r="F199" s="3" t="inlineStr">
        <is>
          <t>https://matvoc.nims.go.jp/entity/Q1947</t>
        </is>
      </c>
      <c r="G199" s="3" t="inlineStr">
        <is>
          <t>2022-07-11 04:36:42.734137+00</t>
        </is>
      </c>
    </row>
    <row r="200" ht="18.75" customHeight="1">
      <c r="A200" s="3" t="inlineStr">
        <is>
          <t>b7159996-c587-8b29-da03-e42f12361d33</t>
        </is>
      </c>
      <c r="B200" s="3" t="inlineStr">
        <is>
          <t>超解像顕微鏡</t>
        </is>
      </c>
      <c r="C200" s="3" t="inlineStr">
        <is>
          <t>Super Resolution Microscope</t>
        </is>
      </c>
      <c r="D200" s="3" t="inlineStr"/>
      <c r="E200" s="3" t="inlineStr"/>
      <c r="F200" s="3" t="inlineStr">
        <is>
          <t>https://matvoc.nims.go.jp/entity/Q1948</t>
        </is>
      </c>
      <c r="G200" s="3" t="inlineStr">
        <is>
          <t>2022-07-11 04:36:42.734137+00</t>
        </is>
      </c>
    </row>
    <row r="201" ht="18.75" customHeight="1">
      <c r="A201" s="3" t="inlineStr">
        <is>
          <t>b8492720-a7e7-eec9-1a1a-bf07c0533620</t>
        </is>
      </c>
      <c r="B201" s="3" t="inlineStr">
        <is>
          <t>位相差顕微鏡</t>
        </is>
      </c>
      <c r="C201" s="3" t="inlineStr">
        <is>
          <t>Phase-contrast Microscope</t>
        </is>
      </c>
      <c r="D201" s="3" t="inlineStr"/>
      <c r="E201" s="3" t="inlineStr"/>
      <c r="F201" s="3" t="inlineStr">
        <is>
          <t>https://matvoc.nims.go.jp/entity/Q1932</t>
        </is>
      </c>
      <c r="G201" s="3" t="inlineStr">
        <is>
          <t>2022-07-11 04:36:42.734137+00</t>
        </is>
      </c>
    </row>
    <row r="202" ht="18.75" customHeight="1">
      <c r="A202" s="3" t="inlineStr">
        <is>
          <t>61380b4d-a946-e0bd-0f47-41d8e1a869a4</t>
        </is>
      </c>
      <c r="B202" s="3" t="inlineStr">
        <is>
          <t>走査型プローブ顕微鏡</t>
        </is>
      </c>
      <c r="C202" s="3" t="inlineStr">
        <is>
          <t>Scanning Probe Microscope</t>
        </is>
      </c>
      <c r="D202" s="3" t="inlineStr"/>
      <c r="E202" s="3" t="inlineStr"/>
      <c r="F202" s="3" t="inlineStr">
        <is>
          <t>https://matvoc.nims.go.jp/entity/Q1892</t>
        </is>
      </c>
      <c r="G202" s="3" t="inlineStr">
        <is>
          <t>2022-07-11 04:36:42.734137+00</t>
        </is>
      </c>
    </row>
    <row r="203" ht="18.75" customHeight="1">
      <c r="A203" s="3" t="inlineStr">
        <is>
          <t>ef9f8865-05ff-1b46-3a39-bc0a14f9a0ce</t>
        </is>
      </c>
      <c r="B203" s="3" t="inlineStr">
        <is>
          <t>走査型トンネル顕微鏡</t>
        </is>
      </c>
      <c r="C203" s="3" t="inlineStr">
        <is>
          <t>Scanning Tunneling Microscope</t>
        </is>
      </c>
      <c r="D203" s="3" t="inlineStr"/>
      <c r="E203" s="3" t="inlineStr"/>
      <c r="F203" s="3" t="inlineStr">
        <is>
          <t>https://matvoc.nims.go.jp/entity/Q1949</t>
        </is>
      </c>
      <c r="G203" s="3" t="inlineStr">
        <is>
          <t>2022-07-11 04:36:42.734137+00</t>
        </is>
      </c>
    </row>
    <row r="204" ht="18.75" customHeight="1">
      <c r="A204" s="3" t="inlineStr">
        <is>
          <t>f62e87bc-92aa-abc4-5471-cf467cb3912b</t>
        </is>
      </c>
      <c r="B204" s="3" t="inlineStr">
        <is>
          <t>原子間力顕微鏡</t>
        </is>
      </c>
      <c r="C204" s="3" t="inlineStr">
        <is>
          <t>Atomic Force Microscope</t>
        </is>
      </c>
      <c r="D204" s="3" t="inlineStr"/>
      <c r="E204" s="3" t="inlineStr"/>
      <c r="F204" s="3" t="inlineStr">
        <is>
          <t>https://matvoc.nims.go.jp/entity/Q1950</t>
        </is>
      </c>
      <c r="G204" s="3" t="inlineStr">
        <is>
          <t>2022-07-11 04:36:42.734137+00</t>
        </is>
      </c>
    </row>
    <row r="205" ht="18.75" customHeight="1">
      <c r="A205" s="3" t="inlineStr">
        <is>
          <t>e5cdc84b-5fab-f2b2-beb9-ee978d564d4d</t>
        </is>
      </c>
      <c r="B205" s="3" t="inlineStr">
        <is>
          <t>クロマトグラフ</t>
        </is>
      </c>
      <c r="C205" s="3" t="inlineStr">
        <is>
          <t>Chromatograph</t>
        </is>
      </c>
      <c r="D205" s="3" t="inlineStr"/>
      <c r="E205" s="3" t="inlineStr"/>
      <c r="F205" s="3" t="inlineStr">
        <is>
          <t>https://matvoc.nims.go.jp/entity/Q1893</t>
        </is>
      </c>
      <c r="G205" s="3" t="inlineStr">
        <is>
          <t>2022-07-11 04:36:42.734137+00</t>
        </is>
      </c>
    </row>
    <row r="206" ht="18.75" customHeight="1">
      <c r="A206" s="3" t="inlineStr">
        <is>
          <t>3022d0e8-8d0e-5af7-576e-cd5a85b5630b</t>
        </is>
      </c>
      <c r="B206" s="3" t="inlineStr">
        <is>
          <t>ガスクロマトグラフ</t>
        </is>
      </c>
      <c r="C206" s="3" t="inlineStr">
        <is>
          <t>Gas-phase Chromatograph</t>
        </is>
      </c>
      <c r="D206" s="3" t="inlineStr"/>
      <c r="E206" s="3" t="inlineStr"/>
      <c r="F206" s="3" t="inlineStr">
        <is>
          <t>https://matvoc.nims.go.jp/entity/Q1951</t>
        </is>
      </c>
      <c r="G206" s="3" t="inlineStr">
        <is>
          <t>2022-07-11 04:36:42.734137+00</t>
        </is>
      </c>
    </row>
    <row r="207" ht="18.75" customHeight="1">
      <c r="A207" s="3" t="inlineStr">
        <is>
          <t>98431a8f-f9de-fcd5-2c3e-e92a4989e2af</t>
        </is>
      </c>
      <c r="B207" s="3" t="inlineStr">
        <is>
          <t>イオンクロマトグラフ</t>
        </is>
      </c>
      <c r="C207" s="3" t="inlineStr">
        <is>
          <t>Ion Chromatograph</t>
        </is>
      </c>
      <c r="D207" s="3" t="inlineStr"/>
      <c r="E207" s="3" t="inlineStr"/>
      <c r="F207" s="3" t="inlineStr">
        <is>
          <t>https://matvoc.nims.go.jp/entity/Q1952</t>
        </is>
      </c>
      <c r="G207" s="3" t="inlineStr">
        <is>
          <t>2022-07-11 04:36:42.734137+00</t>
        </is>
      </c>
    </row>
    <row r="208" ht="18.75" customHeight="1">
      <c r="A208" s="3" t="inlineStr">
        <is>
          <t>4d5f1b0b-cb28-a0f7-267f-4beb36ce312f</t>
        </is>
      </c>
      <c r="B208" s="3" t="inlineStr">
        <is>
          <t>液体クロマトグラフ</t>
        </is>
      </c>
      <c r="C208" s="3" t="inlineStr">
        <is>
          <t>Lliquid-phase Chromatograph</t>
        </is>
      </c>
      <c r="D208" s="3" t="inlineStr"/>
      <c r="E208" s="3" t="inlineStr"/>
      <c r="F208" s="3" t="inlineStr">
        <is>
          <t>https://matvoc.nims.go.jp/entity/Q1953</t>
        </is>
      </c>
      <c r="G208" s="3" t="inlineStr">
        <is>
          <t>2022-07-11 04:36:42.734137+00</t>
        </is>
      </c>
    </row>
    <row r="209" ht="18.75" customHeight="1">
      <c r="A209" s="3" t="inlineStr">
        <is>
          <t>e98fbe1d-3346-9c2a-0df6-6e74164c8c71</t>
        </is>
      </c>
      <c r="B209" s="3" t="inlineStr">
        <is>
          <t>ゲル浸透クロマトグラフ</t>
        </is>
      </c>
      <c r="C209" s="3" t="inlineStr">
        <is>
          <t xml:space="preserve">Gel Permeation Chromatograph </t>
        </is>
      </c>
      <c r="D209" s="3" t="inlineStr"/>
      <c r="E209" s="3" t="inlineStr"/>
      <c r="F209" s="3" t="inlineStr">
        <is>
          <t>https://matvoc.nims.go.jp/entity/Q1954</t>
        </is>
      </c>
      <c r="G209" s="3" t="inlineStr">
        <is>
          <t>2022-07-11 04:36:42.734137+00</t>
        </is>
      </c>
    </row>
    <row r="210" ht="18.75" customHeight="1">
      <c r="A210" s="3" t="inlineStr">
        <is>
          <t>12098051-b72a-87c5-1207-d92f960b53ce</t>
        </is>
      </c>
      <c r="B210" s="3" t="inlineStr">
        <is>
          <t>分光</t>
        </is>
      </c>
      <c r="C210" s="3" t="inlineStr">
        <is>
          <t>Spectroscopy</t>
        </is>
      </c>
      <c r="D210" s="3" t="inlineStr"/>
      <c r="E210" s="3" t="inlineStr"/>
      <c r="F210" s="3" t="inlineStr">
        <is>
          <t>https://matvoc.nims.go.jp/entity/Q1894</t>
        </is>
      </c>
      <c r="G210" s="3" t="inlineStr">
        <is>
          <t>2022-07-11 04:36:42.734137+00</t>
        </is>
      </c>
    </row>
    <row r="211" ht="18.75" customHeight="1">
      <c r="A211" s="3" t="inlineStr">
        <is>
          <t>01c2ecf1-15b5-54a1-6ec6-6fd5298b3e6d</t>
        </is>
      </c>
      <c r="B211" s="3" t="inlineStr">
        <is>
          <t>赤外分光</t>
        </is>
      </c>
      <c r="C211" s="3" t="inlineStr">
        <is>
          <t>Infrared Spectroscopy</t>
        </is>
      </c>
      <c r="D211" s="3" t="inlineStr"/>
      <c r="E211" s="3" t="inlineStr"/>
      <c r="F211" s="3" t="inlineStr">
        <is>
          <t>https://matvoc.nims.go.jp/entity/Q1955</t>
        </is>
      </c>
      <c r="G211" s="3" t="inlineStr">
        <is>
          <t>2022-07-11 04:36:42.734137+00</t>
        </is>
      </c>
    </row>
    <row r="212" ht="18.75" customHeight="1">
      <c r="A212" s="3" t="inlineStr">
        <is>
          <t>fd8bdfa7-ac0a-3183-7ffd-bdcd3db75414</t>
        </is>
      </c>
      <c r="B212" s="3" t="inlineStr">
        <is>
          <t>紫外・可視分光</t>
        </is>
      </c>
      <c r="C212" s="3" t="inlineStr">
        <is>
          <t>Ultraviolet Visible Spectroscopy</t>
        </is>
      </c>
      <c r="D212" s="3" t="inlineStr"/>
      <c r="E212" s="3" t="inlineStr"/>
      <c r="F212" s="3" t="inlineStr">
        <is>
          <t>https://matvoc.nims.go.jp/entity/Q1956</t>
        </is>
      </c>
      <c r="G212" s="3" t="inlineStr">
        <is>
          <t>2022-07-11 04:36:42.734137+00</t>
        </is>
      </c>
    </row>
    <row r="213" ht="18.75" customHeight="1">
      <c r="A213" s="3" t="inlineStr">
        <is>
          <t>b28a6b91-b052-cb6b-9912-404783e99b01</t>
        </is>
      </c>
      <c r="B213" s="3" t="inlineStr">
        <is>
          <t>紫外可視近赤外分光</t>
        </is>
      </c>
      <c r="C213" s="3" t="inlineStr">
        <is>
          <t>Ultraviolet Visible Near-Infrared Spectroscopy</t>
        </is>
      </c>
      <c r="D213" s="3" t="inlineStr"/>
      <c r="E213" s="3" t="inlineStr"/>
      <c r="F213" s="3" t="inlineStr">
        <is>
          <t>https://matvoc.nims.go.jp/entity/Q1957</t>
        </is>
      </c>
      <c r="G213" s="3" t="inlineStr">
        <is>
          <t>2022-07-11 04:36:42.734137+00</t>
        </is>
      </c>
    </row>
    <row r="214" ht="18.75" customHeight="1">
      <c r="A214" s="3" t="inlineStr">
        <is>
          <t>360aafa3-2a5f-307a-d62b-d393396894fb</t>
        </is>
      </c>
      <c r="B214" s="3" t="inlineStr">
        <is>
          <t>近赤外分光光度計</t>
        </is>
      </c>
      <c r="C214" s="3" t="inlineStr">
        <is>
          <t>Nnear‐Infrared Spectroscopy</t>
        </is>
      </c>
      <c r="D214" s="3" t="inlineStr"/>
      <c r="E214" s="3" t="inlineStr"/>
      <c r="F214" s="3" t="inlineStr">
        <is>
          <t>https://matvoc.nims.go.jp/entity/Q1958</t>
        </is>
      </c>
      <c r="G214" s="3" t="inlineStr">
        <is>
          <t>2022-07-11 04:36:42.734137+00</t>
        </is>
      </c>
    </row>
    <row r="215" ht="18.75" customHeight="1">
      <c r="A215" s="3" t="inlineStr">
        <is>
          <t>ca72ee47-924e-2346-fe01-ac8ff51437dc</t>
        </is>
      </c>
      <c r="B215" s="3" t="inlineStr">
        <is>
          <t>蛍光分光</t>
        </is>
      </c>
      <c r="C215" s="3" t="inlineStr">
        <is>
          <t>Flourescence Spectroscopy</t>
        </is>
      </c>
      <c r="D215" s="3" t="inlineStr"/>
      <c r="E215" s="3" t="inlineStr"/>
      <c r="F215" s="3" t="inlineStr">
        <is>
          <t>https://matvoc.nims.go.jp/entity/Q1959</t>
        </is>
      </c>
      <c r="G215" s="3" t="inlineStr">
        <is>
          <t>2022-07-11 04:36:42.734137+00</t>
        </is>
      </c>
    </row>
    <row r="216" ht="18.75" customHeight="1">
      <c r="A216" s="3" t="inlineStr">
        <is>
          <t>1def78ea-86cc-c954-ccf8-a06c7d5adff8</t>
        </is>
      </c>
      <c r="B216" s="3" t="inlineStr">
        <is>
          <t>誘導結合プラズマ発光分光分析計</t>
        </is>
      </c>
      <c r="C216" s="3" t="inlineStr">
        <is>
          <t>Inductively Coupled Plasma Atomic Emission Spectroscopy</t>
        </is>
      </c>
      <c r="D216" s="3" t="inlineStr"/>
      <c r="E216" s="3" t="inlineStr"/>
      <c r="F216" s="3" t="inlineStr">
        <is>
          <t>https://matvoc.nims.go.jp/entity/Q1960</t>
        </is>
      </c>
      <c r="G216" s="3" t="inlineStr">
        <is>
          <t>2022-07-11 04:36:42.734137+00</t>
        </is>
      </c>
    </row>
    <row r="217" ht="18.75" customHeight="1">
      <c r="A217" s="3" t="inlineStr">
        <is>
          <t>c0936a0f-678a-ef7d-3a64-eda1c3082d2a</t>
        </is>
      </c>
      <c r="B217" s="3" t="inlineStr">
        <is>
          <t>X線蛍光分光分析</t>
        </is>
      </c>
      <c r="C217" s="3" t="inlineStr">
        <is>
          <t>X-Ray Flourescence Spectroscopy</t>
        </is>
      </c>
      <c r="D217" s="3" t="inlineStr"/>
      <c r="E217" s="3" t="inlineStr"/>
      <c r="F217" s="3" t="inlineStr">
        <is>
          <t>https://matvoc.nims.go.jp/entity/Q1966</t>
        </is>
      </c>
      <c r="G217" s="3" t="inlineStr">
        <is>
          <t>2022-07-11 04:36:42.734137+00</t>
        </is>
      </c>
    </row>
    <row r="218" ht="18.75" customHeight="1">
      <c r="A218" s="3" t="inlineStr">
        <is>
          <t>3aad993f-ed09-bf50-78d6-b5a0f768fe74</t>
        </is>
      </c>
      <c r="B218" s="3" t="inlineStr">
        <is>
          <t>ラマン分光</t>
        </is>
      </c>
      <c r="C218" s="3" t="inlineStr">
        <is>
          <t xml:space="preserve">Raman Spectroscopy </t>
        </is>
      </c>
      <c r="D218" s="3" t="inlineStr"/>
      <c r="E218" s="3" t="inlineStr"/>
      <c r="F218" s="3" t="inlineStr">
        <is>
          <t>https://matvoc.nims.go.jp/entity/Q1962</t>
        </is>
      </c>
      <c r="G218" s="3" t="inlineStr">
        <is>
          <t>2022-07-11 04:36:42.734137+00</t>
        </is>
      </c>
    </row>
    <row r="219" ht="18.75" customHeight="1">
      <c r="A219" s="3" t="inlineStr">
        <is>
          <t>7c46b215-c32e-ca99-3d2d-553375818dc8</t>
        </is>
      </c>
      <c r="B219" s="3" t="inlineStr">
        <is>
          <t>円二色性分光</t>
        </is>
      </c>
      <c r="C219" s="3" t="inlineStr">
        <is>
          <t>Circular Dichroism</t>
        </is>
      </c>
      <c r="D219" s="3" t="inlineStr"/>
      <c r="E219" s="3" t="inlineStr"/>
      <c r="F219" s="3" t="inlineStr">
        <is>
          <t>https://matvoc.nims.go.jp/entity/Q1963</t>
        </is>
      </c>
      <c r="G219" s="3" t="inlineStr">
        <is>
          <t>2022-07-11 04:36:42.734137+00</t>
        </is>
      </c>
    </row>
    <row r="220" ht="18.75" customHeight="1">
      <c r="A220" s="3" t="inlineStr">
        <is>
          <t>594ebf91-c422-6c96-69e0-67993820ebaf</t>
        </is>
      </c>
      <c r="B220" s="3" t="inlineStr">
        <is>
          <t>X線吸収分光</t>
        </is>
      </c>
      <c r="C220" s="3" t="inlineStr">
        <is>
          <t xml:space="preserve">X-Ray Absorption Spectroscopy </t>
        </is>
      </c>
      <c r="D220" s="3" t="inlineStr"/>
      <c r="E220" s="3" t="inlineStr"/>
      <c r="F220" s="3" t="inlineStr">
        <is>
          <t>https://matvoc.nims.go.jp/entity/Q2114</t>
        </is>
      </c>
      <c r="G220" s="3" t="inlineStr">
        <is>
          <t>2022-07-11 04:36:42.734137+00</t>
        </is>
      </c>
    </row>
    <row r="221" ht="18.75" customHeight="1">
      <c r="A221" s="3" t="inlineStr">
        <is>
          <t>4408a09b-4afe-f469-8e59-11c5f6e8de21</t>
        </is>
      </c>
      <c r="B221" s="3" t="inlineStr">
        <is>
          <t>X線発光分光</t>
        </is>
      </c>
      <c r="C221" s="3" t="inlineStr">
        <is>
          <t xml:space="preserve">X-Ray Emission Spectroscopy </t>
        </is>
      </c>
      <c r="D221" s="3" t="inlineStr"/>
      <c r="E221" s="3" t="inlineStr"/>
      <c r="F221" s="3" t="inlineStr">
        <is>
          <t>https://matvoc.nims.go.jp/entity/Q1989</t>
        </is>
      </c>
      <c r="G221" s="3" t="inlineStr">
        <is>
          <t>2022-07-11 04:36:42.734137+00</t>
        </is>
      </c>
    </row>
    <row r="222" ht="18.75" customHeight="1">
      <c r="A222" s="3" t="inlineStr">
        <is>
          <t>713666fe-b517-9271-e8ad-9ea9fd8d425a</t>
        </is>
      </c>
      <c r="B222" s="3" t="inlineStr">
        <is>
          <t>X線光電子分光</t>
        </is>
      </c>
      <c r="C222" s="3" t="inlineStr">
        <is>
          <t>X-Ray Photoelectron  Spectroscopy</t>
        </is>
      </c>
      <c r="D222" s="3" t="inlineStr"/>
      <c r="E222" s="3" t="inlineStr"/>
      <c r="F222" s="3" t="inlineStr">
        <is>
          <t>https://matvoc.nims.go.jp/entity/Q1972</t>
        </is>
      </c>
      <c r="G222" s="3" t="inlineStr">
        <is>
          <t>2022-07-11 04:36:42.734137+00</t>
        </is>
      </c>
    </row>
    <row r="223" ht="18.75" customHeight="1">
      <c r="A223" s="3" t="inlineStr">
        <is>
          <t>a89719fd-06d1-f3fc-355d-20c74fb5d41f</t>
        </is>
      </c>
      <c r="B223" s="3" t="inlineStr">
        <is>
          <t>オージェ電子分光</t>
        </is>
      </c>
      <c r="C223" s="3" t="inlineStr">
        <is>
          <t>Auger Electron  Spectroscopy</t>
        </is>
      </c>
      <c r="D223" s="3" t="inlineStr"/>
      <c r="E223" s="3" t="inlineStr"/>
      <c r="F223" s="3" t="inlineStr">
        <is>
          <t>https://matvoc.nims.go.jp/entity/Q1967</t>
        </is>
      </c>
      <c r="G223" s="3" t="inlineStr">
        <is>
          <t>2022-07-11 04:36:42.734137+00</t>
        </is>
      </c>
    </row>
    <row r="224" ht="18.75" customHeight="1">
      <c r="A224" s="3" t="inlineStr">
        <is>
          <t>7051bb5e-c223-b30d-e5d0-63fd7c9b77be</t>
        </is>
      </c>
      <c r="B224" s="3" t="inlineStr">
        <is>
          <t>光電子分光</t>
        </is>
      </c>
      <c r="C224" s="3" t="inlineStr">
        <is>
          <t>Photoemission Electron  Spectroscopy</t>
        </is>
      </c>
      <c r="D224" s="3" t="inlineStr"/>
      <c r="E224" s="3" t="inlineStr"/>
      <c r="F224" s="3" t="inlineStr">
        <is>
          <t>https://matvoc.nims.go.jp/entity/Q1968</t>
        </is>
      </c>
      <c r="G224" s="3" t="inlineStr">
        <is>
          <t>2022-07-11 04:36:42.734137+00</t>
        </is>
      </c>
    </row>
    <row r="225" ht="18.75" customHeight="1">
      <c r="A225" s="3" t="inlineStr">
        <is>
          <t>8365d686-4134-cb63-8fad-7cbb49095241</t>
        </is>
      </c>
      <c r="B225" s="3" t="inlineStr">
        <is>
          <t>走査型X線顕微鏡</t>
        </is>
      </c>
      <c r="C225" s="3" t="inlineStr">
        <is>
          <t>Scanning X-Ray Microscope</t>
        </is>
      </c>
      <c r="D225" s="3" t="inlineStr"/>
      <c r="E225" s="3" t="inlineStr"/>
      <c r="F225" s="3" t="inlineStr">
        <is>
          <t>https://matvoc.nims.go.jp/entity/Q1969</t>
        </is>
      </c>
      <c r="G225" s="3" t="inlineStr">
        <is>
          <t>2022-07-11 04:36:42.734137+00</t>
        </is>
      </c>
    </row>
    <row r="226" ht="18.75" customHeight="1">
      <c r="A226" s="3" t="inlineStr">
        <is>
          <t>5f4213b0-bc8d-4e3e-72fb-972ff35c5033</t>
        </is>
      </c>
      <c r="B226" s="3" t="inlineStr">
        <is>
          <t>放射光</t>
        </is>
      </c>
      <c r="C226" s="3" t="inlineStr">
        <is>
          <t>Synchrotron Radiation</t>
        </is>
      </c>
      <c r="D226" s="3" t="inlineStr"/>
      <c r="E226" s="3" t="inlineStr"/>
      <c r="F226" s="3" t="inlineStr">
        <is>
          <t>https://matvoc.nims.go.jp/entity/Q1896</t>
        </is>
      </c>
      <c r="G226" s="3" t="inlineStr">
        <is>
          <t>2022-07-11 04:36:42.734137+00</t>
        </is>
      </c>
    </row>
    <row r="227" ht="18.75" customHeight="1">
      <c r="A227" s="3" t="inlineStr">
        <is>
          <t>e2ce4573-c1ca-69a2-df77-d65b0f552715</t>
        </is>
      </c>
      <c r="B227" s="3" t="inlineStr">
        <is>
          <t>硬X線光電子分光法</t>
        </is>
      </c>
      <c r="C227" s="3" t="inlineStr">
        <is>
          <t>HardX-ray Photoelectron Spectroscopy</t>
        </is>
      </c>
      <c r="D227" s="3" t="inlineStr"/>
      <c r="E227" s="3" t="inlineStr"/>
      <c r="F227" s="3" t="inlineStr">
        <is>
          <t>https://matvoc.nims.go.jp/entity/Q2029</t>
        </is>
      </c>
      <c r="G227" s="3" t="inlineStr">
        <is>
          <t>2022-07-11 04:36:42.734137+00</t>
        </is>
      </c>
    </row>
    <row r="228" ht="18.75" customHeight="1">
      <c r="A228" s="3" t="inlineStr">
        <is>
          <t>32be7300-40d6-b3c9-c88b-f07386c1c4de</t>
        </is>
      </c>
      <c r="B228" s="3" t="inlineStr">
        <is>
          <t>装置・広域X線吸収微細構造</t>
        </is>
      </c>
      <c r="C228" s="3" t="inlineStr">
        <is>
          <t>Extended X-ray Absorption Fine Structure</t>
        </is>
      </c>
      <c r="D228" s="3" t="inlineStr"/>
      <c r="E228" s="3" t="inlineStr"/>
      <c r="F228" s="3" t="inlineStr">
        <is>
          <t>https://matvoc.nims.go.jp/entity/Q1971</t>
        </is>
      </c>
      <c r="G228" s="3" t="inlineStr">
        <is>
          <t>2022-07-11 04:36:42.734137+00</t>
        </is>
      </c>
    </row>
    <row r="229" ht="18.75" customHeight="1">
      <c r="A229" s="3" t="inlineStr">
        <is>
          <t>88cabb25-3401-e1fe-f320-c517b04f63f8</t>
        </is>
      </c>
      <c r="B229" s="3" t="inlineStr">
        <is>
          <t>X線吸収端近傍構造</t>
        </is>
      </c>
      <c r="C229" s="3" t="inlineStr">
        <is>
          <t>X-ray Absorption Near Edge Structure</t>
        </is>
      </c>
      <c r="D229" s="3" t="inlineStr"/>
      <c r="E229" s="3" t="inlineStr"/>
      <c r="F229" s="3" t="inlineStr">
        <is>
          <t>https://matvoc.nims.go.jp/entity/Q1964</t>
        </is>
      </c>
      <c r="G229" s="3" t="inlineStr">
        <is>
          <t>2022-07-11 04:36:42.734137+00</t>
        </is>
      </c>
    </row>
    <row r="230" ht="18.75" customHeight="1">
      <c r="A230" s="3" t="inlineStr">
        <is>
          <t>03823a43-e4ab-8ae9-0a34-ad1758c39d0c</t>
        </is>
      </c>
      <c r="B230" s="3" t="inlineStr">
        <is>
          <t>X線回折装置(放射光)</t>
        </is>
      </c>
      <c r="C230" s="3" t="inlineStr">
        <is>
          <t>X-ray Diffraction-Synchrotron Radiation</t>
        </is>
      </c>
      <c r="D230" s="3" t="inlineStr"/>
      <c r="E230" s="3" t="inlineStr"/>
      <c r="F230" s="3" t="inlineStr">
        <is>
          <t>https://matvoc.nims.go.jp/entity/Q1961</t>
        </is>
      </c>
      <c r="G230" s="3" t="inlineStr">
        <is>
          <t>2022-07-11 04:36:42.734137+00</t>
        </is>
      </c>
    </row>
    <row r="231" ht="18.75" customHeight="1">
      <c r="A231" s="3" t="inlineStr">
        <is>
          <t>ad23ce70-4d79-ef73-e810-f17d61be8d30</t>
        </is>
      </c>
      <c r="B231" s="3" t="inlineStr">
        <is>
          <t>質量分析</t>
        </is>
      </c>
      <c r="C231" s="3" t="inlineStr">
        <is>
          <t>Mass Spectrometer</t>
        </is>
      </c>
      <c r="D231" s="3" t="inlineStr"/>
      <c r="E231" s="3" t="inlineStr"/>
      <c r="F231" s="3" t="inlineStr">
        <is>
          <t>https://matvoc.nims.go.jp/entity/Q1897</t>
        </is>
      </c>
      <c r="G231" s="3" t="inlineStr">
        <is>
          <t>2022-07-11 04:36:42.734137+00</t>
        </is>
      </c>
    </row>
    <row r="232" ht="18.75" customHeight="1">
      <c r="A232" s="3" t="inlineStr">
        <is>
          <t>0ee6ea78-522c-18e7-3115-033dbb6cd885</t>
        </is>
      </c>
      <c r="B232" s="3" t="inlineStr">
        <is>
          <t xml:space="preserve">二重収束質量分析　</t>
        </is>
      </c>
      <c r="C232" s="3" t="inlineStr">
        <is>
          <t>Double-Focusing Mass Spectrometer</t>
        </is>
      </c>
      <c r="D232" s="3" t="inlineStr"/>
      <c r="E232" s="3" t="inlineStr"/>
      <c r="F232" s="3" t="inlineStr">
        <is>
          <t>https://matvoc.nims.go.jp/entity/Q1974</t>
        </is>
      </c>
      <c r="G232" s="3" t="inlineStr">
        <is>
          <t>2022-07-11 04:36:42.734137+00</t>
        </is>
      </c>
    </row>
    <row r="233" ht="18.75" customHeight="1">
      <c r="A233" s="3" t="inlineStr">
        <is>
          <t>d82dab4e-a2e4-1022-1513-3d1369c97d82</t>
        </is>
      </c>
      <c r="B233" s="3" t="inlineStr">
        <is>
          <t xml:space="preserve">四重極質量分析　</t>
        </is>
      </c>
      <c r="C233" s="3" t="inlineStr">
        <is>
          <t>Quadrupole Mass Analyzer; Quadrupole Mass Spectrometer</t>
        </is>
      </c>
      <c r="D233" s="3" t="inlineStr"/>
      <c r="E233" s="3" t="inlineStr"/>
      <c r="F233" s="3" t="inlineStr">
        <is>
          <t>https://matvoc.nims.go.jp/entity/Q1975</t>
        </is>
      </c>
      <c r="G233" s="3" t="inlineStr">
        <is>
          <t>2022-07-11 04:36:42.734137+00</t>
        </is>
      </c>
    </row>
    <row r="234" ht="18.75" customHeight="1">
      <c r="A234" s="3" t="inlineStr">
        <is>
          <t>bd783a01-03b8-a68c-e41c-2bbad3f782ce</t>
        </is>
      </c>
      <c r="B234" s="3" t="inlineStr">
        <is>
          <t xml:space="preserve">飛行時間質量分析　</t>
        </is>
      </c>
      <c r="C234" s="3" t="inlineStr">
        <is>
          <t>Time-Of-Flight Mass Spectrometer</t>
        </is>
      </c>
      <c r="D234" s="3" t="inlineStr"/>
      <c r="E234" s="3" t="inlineStr"/>
      <c r="F234" s="3" t="inlineStr">
        <is>
          <t>https://matvoc.nims.go.jp/entity/Q1976</t>
        </is>
      </c>
      <c r="G234" s="3" t="inlineStr">
        <is>
          <t>2022-07-11 04:36:42.734137+00</t>
        </is>
      </c>
    </row>
    <row r="235" ht="18.75" customHeight="1">
      <c r="A235" s="3" t="inlineStr">
        <is>
          <t>cb7d16df-4747-d79c-dd2f-2869cd14a62b</t>
        </is>
      </c>
      <c r="B235" s="3" t="inlineStr">
        <is>
          <t xml:space="preserve">イオントラップ質量分析　</t>
        </is>
      </c>
      <c r="C235" s="3" t="inlineStr">
        <is>
          <t>Ion Trap Mass Spectrometer</t>
        </is>
      </c>
      <c r="D235" s="3" t="inlineStr"/>
      <c r="E235" s="3" t="inlineStr"/>
      <c r="F235" s="3" t="inlineStr">
        <is>
          <t>https://matvoc.nims.go.jp/entity/Q1977</t>
        </is>
      </c>
      <c r="G235" s="3" t="inlineStr">
        <is>
          <t>2022-07-11 04:36:42.734137+00</t>
        </is>
      </c>
    </row>
    <row r="236" ht="18.75" customHeight="1">
      <c r="A236" s="3" t="inlineStr">
        <is>
          <t>4e1b9dfe-9d4e-c85b-b7d7-00c62e8e0f1f</t>
        </is>
      </c>
      <c r="B236" s="3" t="inlineStr">
        <is>
          <t xml:space="preserve">フーリエ変換イオンサイクロトロン共鳴質量分析　</t>
        </is>
      </c>
      <c r="C236" s="3" t="inlineStr">
        <is>
          <t>Fourier Transfom Ion Cyclotron Resonance Mass Spectrometer</t>
        </is>
      </c>
      <c r="D236" s="3" t="inlineStr"/>
      <c r="E236" s="3" t="inlineStr"/>
      <c r="F236" s="3" t="inlineStr">
        <is>
          <t>https://matvoc.nims.go.jp/entity/Q1978</t>
        </is>
      </c>
      <c r="G236" s="3" t="inlineStr">
        <is>
          <t>2022-07-11 04:36:42.734137+00</t>
        </is>
      </c>
    </row>
    <row r="237" ht="18.75" customHeight="1">
      <c r="A237" s="3" t="inlineStr">
        <is>
          <t>94b0ea79-4499-ef65-a4ee-142095f95527</t>
        </is>
      </c>
      <c r="B237" s="3" t="inlineStr">
        <is>
          <t xml:space="preserve">飛行時間二次イオン質量分析　</t>
        </is>
      </c>
      <c r="C237" s="3" t="inlineStr">
        <is>
          <t>Time-Of-Flight Secondary Ion Mass Spectrometry</t>
        </is>
      </c>
      <c r="D237" s="3" t="inlineStr"/>
      <c r="E237" s="3" t="inlineStr"/>
      <c r="F237" s="3" t="inlineStr">
        <is>
          <t>https://matvoc.nims.go.jp/entity/Q1979</t>
        </is>
      </c>
      <c r="G237" s="3" t="inlineStr">
        <is>
          <t>2022-07-11 04:36:42.734137+00</t>
        </is>
      </c>
    </row>
    <row r="238" ht="18.75" customHeight="1">
      <c r="A238" s="3" t="inlineStr">
        <is>
          <t>99d4cf2a-fd94-4aec-db0c-20905a9e0110</t>
        </is>
      </c>
      <c r="B238" s="3" t="inlineStr">
        <is>
          <t xml:space="preserve">誘導結合プラズマ質量分析　</t>
        </is>
      </c>
      <c r="C238" s="3" t="inlineStr">
        <is>
          <t>Inductively Coupled Plasma Mass Spectrometry</t>
        </is>
      </c>
      <c r="D238" s="3" t="inlineStr"/>
      <c r="E238" s="3" t="inlineStr"/>
      <c r="F238" s="3" t="inlineStr">
        <is>
          <t>https://matvoc.nims.go.jp/entity/Q1980</t>
        </is>
      </c>
      <c r="G238" s="3" t="inlineStr">
        <is>
          <t>2022-07-11 04:36:42.734137+00</t>
        </is>
      </c>
    </row>
    <row r="239" ht="18.75" customHeight="1">
      <c r="A239" s="3" t="inlineStr">
        <is>
          <t>de7d4b51-1294-aed2-2b00-52e9a6b68e2c</t>
        </is>
      </c>
      <c r="B239" s="3" t="inlineStr">
        <is>
          <t>マトリックス支援レーザー脱離イオン化質量分析</t>
        </is>
      </c>
      <c r="C239" s="3" t="inlineStr">
        <is>
          <t>Maldi-Tof Mass Spectrometer</t>
        </is>
      </c>
      <c r="D239" s="3" t="inlineStr"/>
      <c r="E239" s="3" t="inlineStr"/>
      <c r="F239" s="3" t="inlineStr">
        <is>
          <t>https://matvoc.nims.go.jp/entity/Q1981</t>
        </is>
      </c>
      <c r="G239" s="3" t="inlineStr">
        <is>
          <t>2022-07-11 04:36:42.734137+00</t>
        </is>
      </c>
    </row>
    <row r="240" ht="18.75" customHeight="1">
      <c r="A240" s="3" t="inlineStr">
        <is>
          <t>725d3eac-3ec5-6653-bb0c-9fe49a309d02</t>
        </is>
      </c>
      <c r="B240" s="3" t="inlineStr">
        <is>
          <t>二次イオン質量分析</t>
        </is>
      </c>
      <c r="C240" s="3" t="inlineStr">
        <is>
          <t>Secondary Ion Mass Spectrometer</t>
        </is>
      </c>
      <c r="D240" s="3" t="inlineStr"/>
      <c r="E240" s="3" t="inlineStr"/>
      <c r="F240" s="3" t="inlineStr">
        <is>
          <t>https://matvoc.nims.go.jp/entity/Q1982</t>
        </is>
      </c>
      <c r="G240" s="3" t="inlineStr">
        <is>
          <t>2022-07-11 04:36:42.734137+00</t>
        </is>
      </c>
    </row>
    <row r="241" ht="18.75" customHeight="1">
      <c r="A241" s="3" t="inlineStr">
        <is>
          <t>3263abcd-9e15-3ba1-1d6a-5b13b954b3ac</t>
        </is>
      </c>
      <c r="B241" s="3" t="inlineStr">
        <is>
          <t>圧縮試験</t>
        </is>
      </c>
      <c r="C241" s="3" t="inlineStr">
        <is>
          <t>Compression Test</t>
        </is>
      </c>
      <c r="D241" s="3" t="inlineStr"/>
      <c r="E241" s="3" t="inlineStr"/>
      <c r="F241" s="3" t="inlineStr">
        <is>
          <t>https://matvoc.nims.go.jp/entity/Q2025</t>
        </is>
      </c>
      <c r="G241" s="3" t="inlineStr">
        <is>
          <t>2022-07-11 04:36:42.734137+00</t>
        </is>
      </c>
    </row>
    <row r="242" ht="18.75" customHeight="1">
      <c r="A242" s="3" t="inlineStr">
        <is>
          <t>926f3169-e302-ed92-770b-cbc2828e685e</t>
        </is>
      </c>
      <c r="B242" s="3" t="inlineStr">
        <is>
          <t>直接イオン化質量分析</t>
        </is>
      </c>
      <c r="C242" s="3" t="inlineStr">
        <is>
          <t>Direct Analysis In Real Time Mass Spectrometer</t>
        </is>
      </c>
      <c r="D242" s="3" t="inlineStr"/>
      <c r="E242" s="3" t="inlineStr"/>
      <c r="F242" s="3" t="inlineStr">
        <is>
          <t>https://matvoc.nims.go.jp/entity/Q2064</t>
        </is>
      </c>
      <c r="G242" s="3" t="inlineStr">
        <is>
          <t>2022-07-11 04:36:42.734137+00</t>
        </is>
      </c>
    </row>
    <row r="243" ht="18.75" customHeight="1">
      <c r="A243" s="3" t="inlineStr">
        <is>
          <t>0de635ed-fe5b-63fa-2b02-aacb503ae4d5</t>
        </is>
      </c>
      <c r="B243" s="3" t="inlineStr">
        <is>
          <t xml:space="preserve">ガスクロマトグラフ質量分析　</t>
        </is>
      </c>
      <c r="C243" s="3" t="inlineStr">
        <is>
          <t xml:space="preserve">Gas Chromatography - Mass Spectorometer </t>
        </is>
      </c>
      <c r="D243" s="3" t="inlineStr"/>
      <c r="E243" s="3" t="inlineStr"/>
      <c r="F243" s="3" t="inlineStr">
        <is>
          <t>https://matvoc.nims.go.jp/entity/Q1984</t>
        </is>
      </c>
      <c r="G243" s="3" t="inlineStr">
        <is>
          <t>2022-07-11 04:36:42.734137+00</t>
        </is>
      </c>
    </row>
    <row r="244" ht="18.75" customHeight="1">
      <c r="A244" s="3" t="inlineStr">
        <is>
          <t>9dff9f03-5814-233f-bde6-431b633f6d9d</t>
        </is>
      </c>
      <c r="B244" s="3" t="inlineStr">
        <is>
          <t xml:space="preserve">液体クロマトグラフ質量分析　</t>
        </is>
      </c>
      <c r="C244" s="3" t="inlineStr">
        <is>
          <t xml:space="preserve">Liquid Chromatography - Mass Spectorometer </t>
        </is>
      </c>
      <c r="D244" s="3" t="inlineStr"/>
      <c r="E244" s="3" t="inlineStr"/>
      <c r="F244" s="3" t="inlineStr">
        <is>
          <t>https://matvoc.nims.go.jp/entity/Q1985</t>
        </is>
      </c>
      <c r="G244" s="3" t="inlineStr">
        <is>
          <t>2022-07-11 04:36:42.734137+00</t>
        </is>
      </c>
    </row>
    <row r="245" ht="18.75" customHeight="1">
      <c r="A245" s="3" t="inlineStr">
        <is>
          <t>6f44495b-841f-bcef-cc54-19684673500d</t>
        </is>
      </c>
      <c r="B245" s="3" t="inlineStr">
        <is>
          <t>回折・散乱</t>
        </is>
      </c>
      <c r="C245" s="3" t="inlineStr">
        <is>
          <t xml:space="preserve">Scattering &amp; Diffraction </t>
        </is>
      </c>
      <c r="D245" s="3" t="inlineStr"/>
      <c r="E245" s="3" t="inlineStr"/>
      <c r="F245" s="3" t="inlineStr">
        <is>
          <t>https://matvoc.nims.go.jp/entity/Q1898</t>
        </is>
      </c>
      <c r="G245" s="3" t="inlineStr">
        <is>
          <t>2022-07-11 04:36:42.734137+00</t>
        </is>
      </c>
    </row>
    <row r="246" ht="18.75" customHeight="1">
      <c r="A246" s="3" t="inlineStr">
        <is>
          <t>3b92a0c1-805c-f355-4bb3-b37b3005a124</t>
        </is>
      </c>
      <c r="B246" s="3" t="inlineStr">
        <is>
          <t>X線回折装置</t>
        </is>
      </c>
      <c r="C246" s="3" t="inlineStr">
        <is>
          <t>X-Ray Diffraction</t>
        </is>
      </c>
      <c r="D246" s="3" t="inlineStr"/>
      <c r="E246" s="3" t="inlineStr"/>
      <c r="F246" s="3" t="inlineStr">
        <is>
          <t>https://matvoc.nims.go.jp/entity/Q1965</t>
        </is>
      </c>
      <c r="G246" s="3" t="inlineStr">
        <is>
          <t>2022-07-11 04:36:42.734137+00</t>
        </is>
      </c>
    </row>
    <row r="247" ht="18.75" customHeight="1">
      <c r="A247" s="3" t="inlineStr">
        <is>
          <t>1c36274a-4a39-32e8-59cd-0dee6215b609</t>
        </is>
      </c>
      <c r="B247" s="3" t="inlineStr">
        <is>
          <t>単結晶X線回折</t>
        </is>
      </c>
      <c r="C247" s="3" t="inlineStr">
        <is>
          <t>Single Crystal X-Ray Diffraction</t>
        </is>
      </c>
      <c r="D247" s="3" t="inlineStr"/>
      <c r="E247" s="3" t="inlineStr"/>
      <c r="F247" s="3" t="inlineStr">
        <is>
          <t>https://matvoc.nims.go.jp/entity/Q1986</t>
        </is>
      </c>
      <c r="G247" s="3" t="inlineStr">
        <is>
          <t>2022-07-11 04:36:42.734137+00</t>
        </is>
      </c>
    </row>
    <row r="248" ht="18.75" customHeight="1">
      <c r="A248" s="3" t="inlineStr">
        <is>
          <t>07493a76-c527-4cb5-79ff-d716460cfc65</t>
        </is>
      </c>
      <c r="B248" s="3" t="inlineStr">
        <is>
          <t>中性子回折</t>
        </is>
      </c>
      <c r="C248" s="3" t="inlineStr">
        <is>
          <t>Neutron Diffraction</t>
        </is>
      </c>
      <c r="D248" s="3" t="inlineStr"/>
      <c r="E248" s="3" t="inlineStr"/>
      <c r="F248" s="3" t="inlineStr">
        <is>
          <t>https://matvoc.nims.go.jp/entity/Q1987</t>
        </is>
      </c>
      <c r="G248" s="3" t="inlineStr">
        <is>
          <t>2022-07-11 04:36:42.734137+00</t>
        </is>
      </c>
    </row>
    <row r="249" ht="18.75" customHeight="1">
      <c r="A249" s="3" t="inlineStr">
        <is>
          <t>8230ebf2-26fe-d94d-37af-8b4aa3e7ef2e</t>
        </is>
      </c>
      <c r="B249" s="3" t="inlineStr">
        <is>
          <t>X線トポグラフィー</t>
        </is>
      </c>
      <c r="C249" s="3" t="inlineStr">
        <is>
          <t>X-Ray Topography</t>
        </is>
      </c>
      <c r="D249" s="3" t="inlineStr"/>
      <c r="E249" s="3" t="inlineStr"/>
      <c r="F249" s="3" t="inlineStr">
        <is>
          <t>https://matvoc.nims.go.jp/entity/Q1973</t>
        </is>
      </c>
      <c r="G249" s="3" t="inlineStr">
        <is>
          <t>2022-07-11 04:36:42.734137+00</t>
        </is>
      </c>
    </row>
    <row r="250" ht="18.75" customHeight="1">
      <c r="A250" s="3" t="inlineStr">
        <is>
          <t>c2b58ea8-1409-5169-ae0c-921d7a6d95e9</t>
        </is>
      </c>
      <c r="B250" s="3" t="inlineStr">
        <is>
          <t>X線マイクロトモグラフィー</t>
        </is>
      </c>
      <c r="C250" s="3" t="inlineStr">
        <is>
          <t>X-Ray Microtomography</t>
        </is>
      </c>
      <c r="D250" s="3" t="inlineStr"/>
      <c r="E250" s="3" t="inlineStr"/>
      <c r="F250" s="3" t="inlineStr">
        <is>
          <t>https://matvoc.nims.go.jp/entity/Q1988</t>
        </is>
      </c>
      <c r="G250" s="3" t="inlineStr">
        <is>
          <t>2022-07-11 04:36:42.734137+00</t>
        </is>
      </c>
    </row>
    <row r="251" ht="18.75" customHeight="1">
      <c r="A251" s="3" t="inlineStr">
        <is>
          <t>d48017cc-5673-fef3-6f9e-4d6a4db3bd83</t>
        </is>
      </c>
      <c r="B251" s="3" t="inlineStr">
        <is>
          <t>ラザフォード後方散乱</t>
        </is>
      </c>
      <c r="C251" s="3" t="inlineStr">
        <is>
          <t>Rutherford Backscattering Spectrometry</t>
        </is>
      </c>
      <c r="D251" s="3" t="inlineStr"/>
      <c r="E251" s="3" t="inlineStr"/>
      <c r="F251" s="3" t="inlineStr">
        <is>
          <t>https://matvoc.nims.go.jp/entity/Q1990</t>
        </is>
      </c>
      <c r="G251" s="3" t="inlineStr">
        <is>
          <t>2022-07-11 04:36:42.734137+00</t>
        </is>
      </c>
    </row>
    <row r="252" ht="18.75" customHeight="1">
      <c r="A252" s="3" t="inlineStr">
        <is>
          <t>94f08db2-83ea-fb03-2f25-4e0136fbe1b3</t>
        </is>
      </c>
      <c r="B252" s="3" t="inlineStr">
        <is>
          <t>電子回折</t>
        </is>
      </c>
      <c r="C252" s="3" t="inlineStr">
        <is>
          <t>Electron Diffraction</t>
        </is>
      </c>
      <c r="D252" s="3" t="inlineStr"/>
      <c r="E252" s="3" t="inlineStr"/>
      <c r="F252" s="3" t="inlineStr">
        <is>
          <t>https://matvoc.nims.go.jp/entity/Q1991</t>
        </is>
      </c>
      <c r="G252" s="3" t="inlineStr">
        <is>
          <t>2022-07-11 04:36:42.734137+00</t>
        </is>
      </c>
    </row>
    <row r="253" ht="18.75" customHeight="1">
      <c r="A253" s="3" t="inlineStr">
        <is>
          <t>1dd1d570-026a-50f0-0246-b239fa67bd7d</t>
        </is>
      </c>
      <c r="B253" s="3" t="inlineStr">
        <is>
          <t>磁気特性</t>
        </is>
      </c>
      <c r="C253" s="3" t="inlineStr">
        <is>
          <t>Magnetic Characteristic</t>
        </is>
      </c>
      <c r="D253" s="3" t="inlineStr"/>
      <c r="E253" s="3" t="inlineStr"/>
      <c r="F253" s="3" t="inlineStr">
        <is>
          <t>https://matvoc.nims.go.jp/entity/Q1899</t>
        </is>
      </c>
      <c r="G253" s="3" t="inlineStr">
        <is>
          <t>2022-07-11 04:36:42.734137+00</t>
        </is>
      </c>
    </row>
    <row r="254" ht="18.75" customHeight="1">
      <c r="A254" s="3" t="inlineStr">
        <is>
          <t>e8df29a4-5ea2-7aff-0e28-3395aaba5977</t>
        </is>
      </c>
      <c r="B254" s="3" t="inlineStr">
        <is>
          <t>磁気特性測定システム</t>
        </is>
      </c>
      <c r="C254" s="3" t="inlineStr">
        <is>
          <t>Magnetic Property Measurement System</t>
        </is>
      </c>
      <c r="D254" s="3" t="inlineStr"/>
      <c r="E254" s="3" t="inlineStr"/>
      <c r="F254" s="3" t="inlineStr">
        <is>
          <t>https://matvoc.nims.go.jp/entity/Q1992</t>
        </is>
      </c>
      <c r="G254" s="3" t="inlineStr">
        <is>
          <t>2022-07-11 04:36:42.734137+00</t>
        </is>
      </c>
    </row>
    <row r="255" ht="18.75" customHeight="1">
      <c r="A255" s="3" t="inlineStr">
        <is>
          <t>c75d8bea-eb3f-89f0-5def-d17ce6e233dd</t>
        </is>
      </c>
      <c r="B255" s="3" t="inlineStr">
        <is>
          <t>物理特性測定装置</t>
        </is>
      </c>
      <c r="C255" s="3" t="inlineStr">
        <is>
          <t>Physical Property Measurement System</t>
        </is>
      </c>
      <c r="D255" s="3" t="inlineStr"/>
      <c r="E255" s="3" t="inlineStr"/>
      <c r="F255" s="3" t="inlineStr">
        <is>
          <t>https://matvoc.nims.go.jp/entity/Q1993</t>
        </is>
      </c>
      <c r="G255" s="3" t="inlineStr">
        <is>
          <t>2022-07-11 04:36:42.734137+00</t>
        </is>
      </c>
    </row>
    <row r="256" ht="18.75" customHeight="1">
      <c r="A256" s="3" t="inlineStr">
        <is>
          <t>10be6760-cb99-7ccd-d2ba-680e2342658b</t>
        </is>
      </c>
      <c r="B256" s="3" t="inlineStr">
        <is>
          <t>振動試料型磁束計</t>
        </is>
      </c>
      <c r="C256" s="3" t="inlineStr">
        <is>
          <t>Vibrating Sample Magnetometer</t>
        </is>
      </c>
      <c r="D256" s="3" t="inlineStr"/>
      <c r="E256" s="3" t="inlineStr"/>
      <c r="F256" s="3" t="inlineStr">
        <is>
          <t>https://matvoc.nims.go.jp/entity/Q1994</t>
        </is>
      </c>
      <c r="G256" s="3" t="inlineStr">
        <is>
          <t>2022-07-11 04:36:42.734137+00</t>
        </is>
      </c>
    </row>
    <row r="257" ht="18.75" customHeight="1">
      <c r="A257" s="3" t="inlineStr">
        <is>
          <t>0e18cddd-933d-75b5-df32-12b248b1849c</t>
        </is>
      </c>
      <c r="B257" s="3" t="inlineStr">
        <is>
          <t>バイオ装置</t>
        </is>
      </c>
      <c r="C257" s="3" t="inlineStr">
        <is>
          <t>Biological</t>
        </is>
      </c>
      <c r="D257" s="3" t="inlineStr"/>
      <c r="E257" s="3" t="inlineStr"/>
      <c r="F257" s="3" t="inlineStr">
        <is>
          <t>https://matvoc.nims.go.jp/entity/Q1900</t>
        </is>
      </c>
      <c r="G257" s="3" t="inlineStr">
        <is>
          <t>2022-07-11 04:36:42.734137+00</t>
        </is>
      </c>
    </row>
    <row r="258" ht="18.75" customHeight="1">
      <c r="A258" s="3" t="inlineStr">
        <is>
          <t>1bc28a78-67e8-49eb-6fbf-6a783f8b118a</t>
        </is>
      </c>
      <c r="B258" s="3" t="inlineStr">
        <is>
          <t>リアルタイムPCR装置</t>
        </is>
      </c>
      <c r="C258" s="3" t="inlineStr">
        <is>
          <t>Real-Time PCR</t>
        </is>
      </c>
      <c r="D258" s="3" t="inlineStr"/>
      <c r="E258" s="3" t="inlineStr"/>
      <c r="F258" s="3" t="inlineStr">
        <is>
          <t>https://matvoc.nims.go.jp/entity/Q1995</t>
        </is>
      </c>
      <c r="G258" s="3" t="inlineStr">
        <is>
          <t>2022-07-11 04:36:42.734137+00</t>
        </is>
      </c>
    </row>
    <row r="259" ht="18.75" customHeight="1">
      <c r="A259" s="3" t="inlineStr">
        <is>
          <t>f4501971-df1c-8747-a28f-af9461076603</t>
        </is>
      </c>
      <c r="B259" s="3" t="inlineStr">
        <is>
          <t>PCR装置</t>
        </is>
      </c>
      <c r="C259" s="3" t="inlineStr">
        <is>
          <t>PCR</t>
        </is>
      </c>
      <c r="D259" s="3" t="inlineStr"/>
      <c r="E259" s="3" t="inlineStr"/>
      <c r="F259" s="3" t="inlineStr">
        <is>
          <t>https://matvoc.nims.go.jp/entity/Q1996</t>
        </is>
      </c>
      <c r="G259" s="3" t="inlineStr">
        <is>
          <t>2022-07-11 04:36:42.734137+00</t>
        </is>
      </c>
    </row>
    <row r="260" ht="18.75" customHeight="1">
      <c r="A260" s="3" t="inlineStr">
        <is>
          <t>d7f4b22f-01f1-bc2f-c126-cfe8e12b0733</t>
        </is>
      </c>
      <c r="B260" s="3" t="inlineStr">
        <is>
          <t>表面プラズモン共鳴装置</t>
        </is>
      </c>
      <c r="C260" s="3" t="inlineStr">
        <is>
          <t>Surface Plasmon Resonance (SPR)</t>
        </is>
      </c>
      <c r="D260" s="3" t="inlineStr"/>
      <c r="E260" s="3" t="inlineStr"/>
      <c r="F260" s="3" t="inlineStr">
        <is>
          <t>https://matvoc.nims.go.jp/entity/Q1997</t>
        </is>
      </c>
      <c r="G260" s="3" t="inlineStr">
        <is>
          <t>2022-07-11 04:36:42.734137+00</t>
        </is>
      </c>
    </row>
    <row r="261" ht="18.75" customHeight="1">
      <c r="A261" s="3" t="inlineStr">
        <is>
          <t>47029be4-87f5-86cc-d377-c2ca02f86b5a</t>
        </is>
      </c>
      <c r="B261" s="3" t="inlineStr">
        <is>
          <t>プレートリーダー</t>
        </is>
      </c>
      <c r="C261" s="3" t="inlineStr">
        <is>
          <t>Plate Reader</t>
        </is>
      </c>
      <c r="D261" s="3" t="inlineStr"/>
      <c r="E261" s="3" t="inlineStr"/>
      <c r="F261" s="3" t="inlineStr">
        <is>
          <t>https://matvoc.nims.go.jp/entity/Q1998</t>
        </is>
      </c>
      <c r="G261" s="3" t="inlineStr">
        <is>
          <t>2022-07-11 04:36:42.734137+00</t>
        </is>
      </c>
    </row>
    <row r="262" ht="18.75" customHeight="1">
      <c r="A262" s="3" t="inlineStr">
        <is>
          <t>7437fbfb-f560-a6fc-cffc-59c71e545df1</t>
        </is>
      </c>
      <c r="B262" s="3" t="inlineStr">
        <is>
          <t>レーザースキャナー</t>
        </is>
      </c>
      <c r="C262" s="3" t="inlineStr">
        <is>
          <t>Laser Scanner</t>
        </is>
      </c>
      <c r="D262" s="3" t="inlineStr"/>
      <c r="E262" s="3" t="inlineStr"/>
      <c r="F262" s="3" t="inlineStr">
        <is>
          <t>https://matvoc.nims.go.jp/entity/Q1999</t>
        </is>
      </c>
      <c r="G262" s="3" t="inlineStr">
        <is>
          <t>2022-07-11 04:36:42.734137+00</t>
        </is>
      </c>
    </row>
    <row r="263" ht="18.75" customHeight="1">
      <c r="A263" s="3" t="inlineStr">
        <is>
          <t>cc234f68-9550-8e9a-498f-d2facd27d695</t>
        </is>
      </c>
      <c r="B263" s="3" t="inlineStr">
        <is>
          <t>フローサイトメトリー</t>
        </is>
      </c>
      <c r="C263" s="3" t="inlineStr">
        <is>
          <t>Flow Cytometry</t>
        </is>
      </c>
      <c r="D263" s="3" t="inlineStr"/>
      <c r="E263" s="3" t="inlineStr"/>
      <c r="F263" s="3" t="inlineStr">
        <is>
          <t>https://matvoc.nims.go.jp/entity/Q2000</t>
        </is>
      </c>
      <c r="G263" s="3" t="inlineStr">
        <is>
          <t>2022-07-11 04:36:42.734137+00</t>
        </is>
      </c>
    </row>
    <row r="264" ht="18.75" customHeight="1">
      <c r="A264" s="3" t="inlineStr">
        <is>
          <t>8e62e286-74e9-4bb5-2f14-92da1307d85a</t>
        </is>
      </c>
      <c r="B264" s="3" t="inlineStr">
        <is>
          <t>セルソーター</t>
        </is>
      </c>
      <c r="C264" s="3" t="inlineStr">
        <is>
          <t>Cell Sorter</t>
        </is>
      </c>
      <c r="D264" s="3" t="inlineStr"/>
      <c r="E264" s="3" t="inlineStr"/>
      <c r="F264" s="3" t="inlineStr">
        <is>
          <t>https://matvoc.nims.go.jp/entity/Q2001</t>
        </is>
      </c>
      <c r="G264" s="3" t="inlineStr">
        <is>
          <t>2022-07-11 04:36:42.734137+00</t>
        </is>
      </c>
    </row>
    <row r="265" ht="18.75" customHeight="1">
      <c r="A265" s="3" t="inlineStr">
        <is>
          <t>3b7eb9da-a70e-a642-ffc0-58088896e031</t>
        </is>
      </c>
      <c r="B265" s="3" t="inlineStr">
        <is>
          <t>電気泳動装置</t>
        </is>
      </c>
      <c r="C265" s="3" t="inlineStr">
        <is>
          <t>Electrophoresis</t>
        </is>
      </c>
      <c r="D265" s="3" t="inlineStr"/>
      <c r="E265" s="3" t="inlineStr"/>
      <c r="F265" s="3" t="inlineStr">
        <is>
          <t>https://matvoc.nims.go.jp/entity/Q2002</t>
        </is>
      </c>
      <c r="G265" s="3" t="inlineStr">
        <is>
          <t>2022-07-11 04:36:42.734137+00</t>
        </is>
      </c>
    </row>
    <row r="266" ht="18.75" customHeight="1">
      <c r="A266" s="3" t="inlineStr">
        <is>
          <t>add609ce-b567-b8b0-6ad8-985f437ae67f</t>
        </is>
      </c>
      <c r="B266" s="3" t="inlineStr">
        <is>
          <t>ゲルイメージング装置</t>
        </is>
      </c>
      <c r="C266" s="3" t="inlineStr">
        <is>
          <t>Gel Imaging Device</t>
        </is>
      </c>
      <c r="D266" s="3" t="inlineStr"/>
      <c r="E266" s="3" t="inlineStr"/>
      <c r="F266" s="3" t="inlineStr">
        <is>
          <t>https://matvoc.nims.go.jp/entity/Q2003</t>
        </is>
      </c>
      <c r="G266" s="3" t="inlineStr">
        <is>
          <t>2022-07-11 04:36:42.734137+00</t>
        </is>
      </c>
    </row>
    <row r="267" ht="18.75" customHeight="1">
      <c r="A267" s="3" t="inlineStr">
        <is>
          <t>f23cb703-edf0-d6eb-45a7-d33559403c63</t>
        </is>
      </c>
      <c r="B267" s="3" t="inlineStr">
        <is>
          <t>レーザーマイクロダイセクション</t>
        </is>
      </c>
      <c r="C267" s="3" t="inlineStr">
        <is>
          <t>Laser Microdissection (LMD)</t>
        </is>
      </c>
      <c r="D267" s="3" t="inlineStr"/>
      <c r="E267" s="3" t="inlineStr"/>
      <c r="F267" s="3" t="inlineStr">
        <is>
          <t>https://matvoc.nims.go.jp/entity/Q2004</t>
        </is>
      </c>
      <c r="G267" s="3" t="inlineStr">
        <is>
          <t>2022-07-11 04:36:42.734137+00</t>
        </is>
      </c>
    </row>
    <row r="268" ht="18.75" customHeight="1">
      <c r="A268" s="3" t="inlineStr">
        <is>
          <t>95b4e6c9-ff2d-0720-2a02-28943f3c40d3</t>
        </is>
      </c>
      <c r="B268" s="3" t="inlineStr">
        <is>
          <t>DNAシーケンサー</t>
        </is>
      </c>
      <c r="C268" s="3" t="inlineStr">
        <is>
          <t>DNA Sequencer</t>
        </is>
      </c>
      <c r="D268" s="3" t="inlineStr"/>
      <c r="E268" s="3" t="inlineStr"/>
      <c r="F268" s="3" t="inlineStr">
        <is>
          <t>https://matvoc.nims.go.jp/entity/Q2069</t>
        </is>
      </c>
      <c r="G268" s="3" t="inlineStr">
        <is>
          <t>2022-07-11 04:36:42.734137+00</t>
        </is>
      </c>
    </row>
    <row r="269" ht="18.75" customHeight="1">
      <c r="A269" s="3" t="inlineStr">
        <is>
          <t>8b7640a6-e0bf-6f06-b922-cd326b6efb85</t>
        </is>
      </c>
      <c r="B269" s="3" t="inlineStr">
        <is>
          <t>その他分析装置</t>
        </is>
      </c>
      <c r="C269" s="3" t="inlineStr">
        <is>
          <t>Analysis</t>
        </is>
      </c>
      <c r="D269" s="3" t="inlineStr"/>
      <c r="E269" s="3" t="inlineStr"/>
      <c r="F269" s="3" t="inlineStr">
        <is>
          <t>https://matvoc.nims.go.jp/entity/Q1901</t>
        </is>
      </c>
      <c r="G269" s="3" t="inlineStr">
        <is>
          <t>2022-07-11 04:36:42.734137+00</t>
        </is>
      </c>
    </row>
    <row r="270" ht="18.75" customHeight="1">
      <c r="A270" s="3" t="inlineStr">
        <is>
          <t>a2f98642-c00f-cd3d-1ef8-42c4d7ae7273</t>
        </is>
      </c>
      <c r="B270" s="3" t="inlineStr">
        <is>
          <t>示差走査熱量分析</t>
        </is>
      </c>
      <c r="C270" s="3" t="inlineStr">
        <is>
          <t>Differential Scanning Calorimetry</t>
        </is>
      </c>
      <c r="D270" s="3" t="inlineStr"/>
      <c r="E270" s="3" t="inlineStr"/>
      <c r="F270" s="3" t="inlineStr">
        <is>
          <t>https://matvoc.nims.go.jp/entity/Q2005</t>
        </is>
      </c>
      <c r="G270" s="3" t="inlineStr">
        <is>
          <t>2022-07-11 04:36:42.734137+00</t>
        </is>
      </c>
    </row>
    <row r="271" ht="18.75" customHeight="1">
      <c r="A271" s="3" t="inlineStr">
        <is>
          <t>c888a3e5-4289-910f-eb48-c608b62ae1d9</t>
        </is>
      </c>
      <c r="B271" s="3" t="inlineStr">
        <is>
          <t>熱重量分析</t>
        </is>
      </c>
      <c r="C271" s="3" t="inlineStr">
        <is>
          <t>Thermal Gravimetric Analysis</t>
        </is>
      </c>
      <c r="D271" s="3" t="inlineStr"/>
      <c r="E271" s="3" t="inlineStr"/>
      <c r="F271" s="3" t="inlineStr">
        <is>
          <t>https://matvoc.nims.go.jp/entity/Q2007</t>
        </is>
      </c>
      <c r="G271" s="3" t="inlineStr">
        <is>
          <t>2022-07-11 04:36:42.734137+00</t>
        </is>
      </c>
    </row>
    <row r="272" ht="18.75" customHeight="1">
      <c r="A272" s="3" t="inlineStr">
        <is>
          <t>1279c879-6248-f95c-31b7-9326af7c4437</t>
        </is>
      </c>
      <c r="B272" s="3" t="inlineStr">
        <is>
          <t>示差熱・熱重量同時測定</t>
        </is>
      </c>
      <c r="C272" s="3" t="inlineStr">
        <is>
          <t>Thermal Gravimetric Differential Scanning Calorimetry</t>
        </is>
      </c>
      <c r="D272" s="3" t="inlineStr"/>
      <c r="E272" s="3" t="inlineStr"/>
      <c r="F272" s="3" t="inlineStr">
        <is>
          <t>https://matvoc.nims.go.jp/entity/Q2008</t>
        </is>
      </c>
      <c r="G272" s="3" t="inlineStr">
        <is>
          <t>2022-07-11 04:36:42.734137+00</t>
        </is>
      </c>
    </row>
    <row r="273" ht="18.75" customHeight="1">
      <c r="A273" s="3" t="inlineStr">
        <is>
          <t>6bf2aae3-fc95-8f75-c3d1-02ad10eb6247</t>
        </is>
      </c>
      <c r="B273" s="3" t="inlineStr">
        <is>
          <t>熱機械分析</t>
        </is>
      </c>
      <c r="C273" s="3" t="inlineStr">
        <is>
          <t>Thermomechanical Analyzer</t>
        </is>
      </c>
      <c r="D273" s="3" t="inlineStr"/>
      <c r="E273" s="3" t="inlineStr"/>
      <c r="F273" s="3" t="inlineStr">
        <is>
          <t>https://matvoc.nims.go.jp/entity/Q2009</t>
        </is>
      </c>
      <c r="G273" s="3" t="inlineStr">
        <is>
          <t>2022-07-11 04:36:42.734137+00</t>
        </is>
      </c>
    </row>
    <row r="274" ht="18.75" customHeight="1">
      <c r="A274" s="3" t="inlineStr">
        <is>
          <t>598e6174-490e-071a-61bc-99c2dde91ee1</t>
        </is>
      </c>
      <c r="B274" s="3" t="inlineStr">
        <is>
          <t>粘弾性測定</t>
        </is>
      </c>
      <c r="C274" s="3" t="inlineStr">
        <is>
          <t>Viscoelasticity</t>
        </is>
      </c>
      <c r="D274" s="3" t="inlineStr"/>
      <c r="E274" s="3" t="inlineStr"/>
      <c r="F274" s="3" t="inlineStr">
        <is>
          <t>https://matvoc.nims.go.jp/entity/Q2010</t>
        </is>
      </c>
      <c r="G274" s="3" t="inlineStr">
        <is>
          <t>2022-07-11 04:36:42.734137+00</t>
        </is>
      </c>
    </row>
    <row r="275" ht="18.75" customHeight="1">
      <c r="A275" s="3" t="inlineStr">
        <is>
          <t>e60fa979-8ebc-939b-1598-5a1bdd417c94</t>
        </is>
      </c>
      <c r="B275" s="3" t="inlineStr">
        <is>
          <t>段差計</t>
        </is>
      </c>
      <c r="C275" s="3" t="inlineStr">
        <is>
          <t>Profiler</t>
        </is>
      </c>
      <c r="D275" s="3" t="inlineStr"/>
      <c r="E275" s="3" t="inlineStr"/>
      <c r="F275" s="3" t="inlineStr">
        <is>
          <t>https://matvoc.nims.go.jp/entity/Q2011</t>
        </is>
      </c>
      <c r="G275" s="3" t="inlineStr">
        <is>
          <t>2022-07-11 04:36:42.734137+00</t>
        </is>
      </c>
    </row>
    <row r="276" ht="18.75" customHeight="1">
      <c r="A276" s="3" t="inlineStr">
        <is>
          <t>9262aab9-c744-88c9-f733-e86808781737</t>
        </is>
      </c>
      <c r="B276" s="3" t="inlineStr">
        <is>
          <t>膜厚測定</t>
        </is>
      </c>
      <c r="C276" s="3" t="inlineStr">
        <is>
          <t>Film Thickness Measurement</t>
        </is>
      </c>
      <c r="D276" s="3" t="inlineStr"/>
      <c r="E276" s="3" t="inlineStr"/>
      <c r="F276" s="3" t="inlineStr">
        <is>
          <t>https://matvoc.nims.go.jp/entity/Q1905</t>
        </is>
      </c>
      <c r="G276" s="3" t="inlineStr">
        <is>
          <t>2022-07-11 04:36:42.734137+00</t>
        </is>
      </c>
    </row>
    <row r="277" ht="18.75" customHeight="1">
      <c r="A277" s="3" t="inlineStr">
        <is>
          <t>7989a34c-db48-246b-819a-858afa68c320</t>
        </is>
      </c>
      <c r="B277" s="3" t="inlineStr">
        <is>
          <t>エリプソメーター</t>
        </is>
      </c>
      <c r="C277" s="3" t="inlineStr">
        <is>
          <t>Ellipsometry</t>
        </is>
      </c>
      <c r="D277" s="3" t="inlineStr"/>
      <c r="E277" s="3" t="inlineStr"/>
      <c r="F277" s="3" t="inlineStr">
        <is>
          <t>https://matvoc.nims.go.jp/entity/Q2013</t>
        </is>
      </c>
      <c r="G277" s="3" t="inlineStr">
        <is>
          <t>2022-07-11 04:36:42.734137+00</t>
        </is>
      </c>
    </row>
    <row r="278" ht="18.75" customHeight="1">
      <c r="A278" s="3" t="inlineStr">
        <is>
          <t>2d3e316d-dd35-29ee-08ad-fd3823d7a8d5</t>
        </is>
      </c>
      <c r="B278" s="3" t="inlineStr">
        <is>
          <t>接触角計</t>
        </is>
      </c>
      <c r="C278" s="3" t="inlineStr">
        <is>
          <t xml:space="preserve">Contact Angle Meter </t>
        </is>
      </c>
      <c r="D278" s="3" t="inlineStr"/>
      <c r="E278" s="3" t="inlineStr"/>
      <c r="F278" s="3" t="inlineStr">
        <is>
          <t>https://matvoc.nims.go.jp/entity/Q2014</t>
        </is>
      </c>
      <c r="G278" s="3" t="inlineStr">
        <is>
          <t>2022-07-11 04:36:42.734137+00</t>
        </is>
      </c>
    </row>
    <row r="279" ht="18.75" customHeight="1">
      <c r="A279" s="3" t="inlineStr">
        <is>
          <t>f13d554d-312e-84da-bb53-503a1b83c4a8</t>
        </is>
      </c>
      <c r="B279" s="3" t="inlineStr">
        <is>
          <t>ゼータ電位</t>
        </is>
      </c>
      <c r="C279" s="3" t="inlineStr">
        <is>
          <t>Zeta Potential</t>
        </is>
      </c>
      <c r="D279" s="3" t="inlineStr"/>
      <c r="E279" s="3" t="inlineStr"/>
      <c r="F279" s="3" t="inlineStr">
        <is>
          <t>https://matvoc.nims.go.jp/entity/Q2015</t>
        </is>
      </c>
      <c r="G279" s="3" t="inlineStr">
        <is>
          <t>2022-07-11 04:36:42.734137+00</t>
        </is>
      </c>
    </row>
    <row r="280" ht="18.75" customHeight="1">
      <c r="A280" s="3" t="inlineStr">
        <is>
          <t>8a0d08d1-fd78-40ef-863b-ba44fa677679</t>
        </is>
      </c>
      <c r="B280" s="3" t="inlineStr">
        <is>
          <t>粒度分布測定（動的光散乱）</t>
        </is>
      </c>
      <c r="C280" s="3" t="inlineStr">
        <is>
          <t xml:space="preserve">Dynamic Light Scattering </t>
        </is>
      </c>
      <c r="D280" s="3" t="inlineStr"/>
      <c r="E280" s="3" t="inlineStr"/>
      <c r="F280" s="3" t="inlineStr">
        <is>
          <t>https://matvoc.nims.go.jp/entity/Q2016</t>
        </is>
      </c>
      <c r="G280" s="3" t="inlineStr">
        <is>
          <t>2022-07-11 04:36:42.734137+00</t>
        </is>
      </c>
    </row>
    <row r="281" ht="18.75" customHeight="1">
      <c r="A281" s="3" t="inlineStr">
        <is>
          <t>966072e7-7240-f3d7-daf4-828b7487823a</t>
        </is>
      </c>
      <c r="B281" s="3" t="inlineStr">
        <is>
          <t>粒度分布測定（静的光散乱）</t>
        </is>
      </c>
      <c r="C281" s="3" t="inlineStr">
        <is>
          <t xml:space="preserve">Static Light Scattering </t>
        </is>
      </c>
      <c r="D281" s="3" t="inlineStr"/>
      <c r="E281" s="3" t="inlineStr"/>
      <c r="F281" s="3" t="inlineStr">
        <is>
          <t>https://matvoc.nims.go.jp/entity/Q2017</t>
        </is>
      </c>
      <c r="G281" s="3" t="inlineStr">
        <is>
          <t>2022-07-11 04:36:42.734137+00</t>
        </is>
      </c>
    </row>
    <row r="282" ht="18.75" customHeight="1">
      <c r="A282" s="3" t="inlineStr">
        <is>
          <t>e8b0dcc6-1f15-922e-2e8b-c79805365118</t>
        </is>
      </c>
      <c r="B282" s="3" t="inlineStr">
        <is>
          <t>蒸気圧式絶対分子量測定</t>
        </is>
      </c>
      <c r="C282" s="3" t="inlineStr">
        <is>
          <t>Vapor Pressure Osmometer</t>
        </is>
      </c>
      <c r="D282" s="3" t="inlineStr"/>
      <c r="E282" s="3" t="inlineStr"/>
      <c r="F282" s="3" t="inlineStr">
        <is>
          <t>https://matvoc.nims.go.jp/entity/Q2018</t>
        </is>
      </c>
      <c r="G282" s="3" t="inlineStr">
        <is>
          <t>2022-07-11 04:36:42.734137+00</t>
        </is>
      </c>
    </row>
    <row r="283" ht="18.75" customHeight="1">
      <c r="A283" s="3" t="inlineStr">
        <is>
          <t>6803eaa1-665b-7a38-8aa5-366a1ddbf4cb</t>
        </is>
      </c>
      <c r="B283" s="3" t="inlineStr">
        <is>
          <t>電子物性評価</t>
        </is>
      </c>
      <c r="C283" s="3" t="inlineStr">
        <is>
          <t>Electronic Property</t>
        </is>
      </c>
      <c r="D283" s="3" t="inlineStr"/>
      <c r="E283" s="3" t="inlineStr"/>
      <c r="F283" s="3" t="inlineStr">
        <is>
          <t>https://matvoc.nims.go.jp/entity/Q2019</t>
        </is>
      </c>
      <c r="G283" s="3" t="inlineStr">
        <is>
          <t>2022-07-11 04:36:42.734137+00</t>
        </is>
      </c>
    </row>
    <row r="284" ht="18.75" customHeight="1">
      <c r="A284" s="3" t="inlineStr">
        <is>
          <t>7d7175d7-854b-a755-11f0-2ee943529a60</t>
        </is>
      </c>
      <c r="B284" s="3" t="inlineStr">
        <is>
          <t>電子材料・デバイス評価</t>
        </is>
      </c>
      <c r="C284" s="3" t="inlineStr">
        <is>
          <t>Electronic Materials &amp; Device characterization</t>
        </is>
      </c>
      <c r="D284" s="3" t="inlineStr"/>
      <c r="E284" s="3" t="inlineStr"/>
      <c r="F284" s="3" t="inlineStr">
        <is>
          <t>https://matvoc.nims.go.jp/entity/Q2020</t>
        </is>
      </c>
      <c r="G284" s="3" t="inlineStr">
        <is>
          <t>2022-07-11 04:36:42.734137+00</t>
        </is>
      </c>
    </row>
    <row r="285" ht="18.75" customHeight="1">
      <c r="A285" s="3" t="inlineStr">
        <is>
          <t>4f4f5685-b2ea-2e67-b2b1-7abf26f4e783</t>
        </is>
      </c>
      <c r="B285" s="3" t="inlineStr">
        <is>
          <t>メスバウアー分光</t>
        </is>
      </c>
      <c r="C285" s="3" t="inlineStr">
        <is>
          <t>Mössbauer Spectrometer</t>
        </is>
      </c>
      <c r="D285" s="3" t="inlineStr"/>
      <c r="E285" s="3" t="inlineStr"/>
      <c r="F285" s="3" t="inlineStr">
        <is>
          <t>https://matvoc.nims.go.jp/entity/Q2021</t>
        </is>
      </c>
      <c r="G285" s="3" t="inlineStr">
        <is>
          <t>2022-07-11 04:36:42.734137+00</t>
        </is>
      </c>
    </row>
    <row r="286" ht="18.75" customHeight="1">
      <c r="A286" s="3" t="inlineStr">
        <is>
          <t>b3dcd540-8cdf-b9c1-cbe1-2e8216602f44</t>
        </is>
      </c>
      <c r="B286" s="3" t="inlineStr">
        <is>
          <t>電気化学</t>
        </is>
      </c>
      <c r="C286" s="3" t="inlineStr">
        <is>
          <t>Electron Chemical</t>
        </is>
      </c>
      <c r="D286" s="3" t="inlineStr"/>
      <c r="E286" s="3" t="inlineStr"/>
      <c r="F286" s="3" t="inlineStr">
        <is>
          <t>https://matvoc.nims.go.jp/entity/Q1902</t>
        </is>
      </c>
      <c r="G286" s="3" t="inlineStr">
        <is>
          <t>2022-07-11 04:36:42.734137+00</t>
        </is>
      </c>
    </row>
    <row r="287" ht="18.75" customHeight="1">
      <c r="A287" s="3" t="inlineStr">
        <is>
          <t>adff1337-48fb-9f45-37f0-de44ae226633</t>
        </is>
      </c>
      <c r="B287" s="3" t="inlineStr">
        <is>
          <t>電流滴定</t>
        </is>
      </c>
      <c r="C287" s="3" t="inlineStr">
        <is>
          <t>Amoperometry</t>
        </is>
      </c>
      <c r="D287" s="3" t="inlineStr"/>
      <c r="E287" s="3" t="inlineStr"/>
      <c r="F287" s="3" t="inlineStr">
        <is>
          <t>https://matvoc.nims.go.jp/entity/Q2022</t>
        </is>
      </c>
      <c r="G287" s="3" t="inlineStr">
        <is>
          <t>2022-07-11 04:36:42.734137+00</t>
        </is>
      </c>
    </row>
    <row r="288" ht="18.75" customHeight="1">
      <c r="A288" s="3" t="inlineStr">
        <is>
          <t>c799b331-1491-54af-46e8-9aa9e85a7c4b</t>
        </is>
      </c>
      <c r="B288" s="3" t="inlineStr">
        <is>
          <t>電位差測定</t>
        </is>
      </c>
      <c r="C288" s="3" t="inlineStr">
        <is>
          <t>Potentiometry</t>
        </is>
      </c>
      <c r="D288" s="3" t="inlineStr"/>
      <c r="E288" s="3" t="inlineStr"/>
      <c r="F288" s="3" t="inlineStr">
        <is>
          <t>https://matvoc.nims.go.jp/entity/Q2023</t>
        </is>
      </c>
      <c r="G288" s="3" t="inlineStr">
        <is>
          <t>2022-07-11 04:36:42.734137+00</t>
        </is>
      </c>
    </row>
    <row r="289" ht="18.75" customHeight="1">
      <c r="A289" s="3" t="inlineStr">
        <is>
          <t>ed565c88-79d2-4f8f-e8a0-0adf8e6a6534</t>
        </is>
      </c>
      <c r="B289" s="3" t="inlineStr">
        <is>
          <t>電流測定</t>
        </is>
      </c>
      <c r="C289" s="3" t="inlineStr">
        <is>
          <t>Voltammetry</t>
        </is>
      </c>
      <c r="D289" s="3" t="inlineStr"/>
      <c r="E289" s="3" t="inlineStr"/>
      <c r="F289" s="3" t="inlineStr">
        <is>
          <t>https://matvoc.nims.go.jp/entity/Q2024</t>
        </is>
      </c>
      <c r="G289" s="3" t="inlineStr">
        <is>
          <t>2022-07-11 04:36:42.734137+00</t>
        </is>
      </c>
    </row>
    <row r="290" ht="18.75" customHeight="1">
      <c r="A290" s="3" t="inlineStr">
        <is>
          <t>bdc34fc6-b18c-3875-f5eb-8ce3c8840057</t>
        </is>
      </c>
      <c r="B290" s="3" t="inlineStr">
        <is>
          <t>機械特性</t>
        </is>
      </c>
      <c r="C290" s="3" t="inlineStr">
        <is>
          <t>Mechanical Properties</t>
        </is>
      </c>
      <c r="D290" s="3" t="inlineStr"/>
      <c r="E290" s="3" t="inlineStr"/>
      <c r="F290" s="3" t="inlineStr">
        <is>
          <t>https://matvoc.nims.go.jp/entity/Q1903</t>
        </is>
      </c>
      <c r="G290" s="3" t="inlineStr">
        <is>
          <t>2022-07-11 04:36:42.734137+00</t>
        </is>
      </c>
    </row>
    <row r="291" ht="18.75" customHeight="1">
      <c r="A291" s="3" t="inlineStr">
        <is>
          <t>59172962-ea0e-95af-792a-cf4ae7bedcbd</t>
        </is>
      </c>
      <c r="B291" s="3" t="inlineStr">
        <is>
          <t>クリープ試験</t>
        </is>
      </c>
      <c r="C291" s="3" t="inlineStr">
        <is>
          <t>Creep Test</t>
        </is>
      </c>
      <c r="D291" s="3" t="inlineStr"/>
      <c r="E291" s="3" t="inlineStr"/>
      <c r="F291" s="3" t="inlineStr">
        <is>
          <t>https://matvoc.nims.go.jp/entity/Q2026</t>
        </is>
      </c>
      <c r="G291" s="3" t="inlineStr">
        <is>
          <t>2022-07-11 04:36:42.734137+00</t>
        </is>
      </c>
    </row>
    <row r="292" ht="18.75" customHeight="1">
      <c r="A292" s="3" t="inlineStr">
        <is>
          <t>c03fdeea-75f7-fef8-2440-7295a75e8eca</t>
        </is>
      </c>
      <c r="B292" s="3" t="inlineStr">
        <is>
          <t>動的機械分析</t>
        </is>
      </c>
      <c r="C292" s="3" t="inlineStr">
        <is>
          <t>Dynamic Mechanical Analysis</t>
        </is>
      </c>
      <c r="D292" s="3" t="inlineStr"/>
      <c r="E292" s="3" t="inlineStr"/>
      <c r="F292" s="3" t="inlineStr">
        <is>
          <t>https://matvoc.nims.go.jp/entity/Q2027</t>
        </is>
      </c>
      <c r="G292" s="3" t="inlineStr">
        <is>
          <t>2022-07-11 04:36:42.734137+00</t>
        </is>
      </c>
    </row>
    <row r="293" ht="18.75" customHeight="1">
      <c r="A293" s="3" t="inlineStr">
        <is>
          <t>7f646c8d-de85-fc2c-4a2d-9a1bc38fd401</t>
        </is>
      </c>
      <c r="B293" s="3" t="inlineStr">
        <is>
          <t>疲労試験</t>
        </is>
      </c>
      <c r="C293" s="3" t="inlineStr">
        <is>
          <t>Fatigue Testing</t>
        </is>
      </c>
      <c r="D293" s="3" t="inlineStr"/>
      <c r="E293" s="3" t="inlineStr"/>
      <c r="F293" s="3" t="inlineStr">
        <is>
          <t>https://matvoc.nims.go.jp/entity/Q2028</t>
        </is>
      </c>
      <c r="G293" s="3" t="inlineStr">
        <is>
          <t>2022-07-11 04:36:42.734137+00</t>
        </is>
      </c>
    </row>
    <row r="294" ht="18.75" customHeight="1">
      <c r="A294" s="3" t="inlineStr">
        <is>
          <t>e40de2c3-b59f-3cf2-a849-0a5f438691bd</t>
        </is>
      </c>
      <c r="B294" s="3" t="inlineStr">
        <is>
          <t>硬度計</t>
        </is>
      </c>
      <c r="C294" s="3" t="inlineStr">
        <is>
          <t>Hardness Testing</t>
        </is>
      </c>
      <c r="D294" s="3" t="inlineStr"/>
      <c r="E294" s="3" t="inlineStr"/>
      <c r="F294" s="3" t="inlineStr">
        <is>
          <t>https://matvoc.nims.go.jp/entity/Q1970</t>
        </is>
      </c>
      <c r="G294" s="3" t="inlineStr">
        <is>
          <t>2022-07-11 04:36:42.734137+00</t>
        </is>
      </c>
    </row>
    <row r="295" ht="18.75" customHeight="1">
      <c r="A295" s="3" t="inlineStr">
        <is>
          <t>e3494e3d-0535-91f2-5293-7c0cfb4f31ec</t>
        </is>
      </c>
      <c r="B295" s="3" t="inlineStr">
        <is>
          <t>ナノインデンテーション試験</t>
        </is>
      </c>
      <c r="C295" s="3" t="inlineStr">
        <is>
          <t>Nanoindentation</t>
        </is>
      </c>
      <c r="D295" s="3" t="inlineStr"/>
      <c r="E295" s="3" t="inlineStr"/>
      <c r="F295" s="3" t="inlineStr">
        <is>
          <t>https://matvoc.nims.go.jp/entity/Q2030</t>
        </is>
      </c>
      <c r="G295" s="3" t="inlineStr">
        <is>
          <t>2022-07-11 04:36:42.734137+00</t>
        </is>
      </c>
    </row>
    <row r="296" ht="18.75" customHeight="1">
      <c r="A296" s="3" t="inlineStr">
        <is>
          <t>c043a655-36c9-311a-41b1-afa9757d6107</t>
        </is>
      </c>
      <c r="B296" s="3" t="inlineStr">
        <is>
          <t>せん断　ねじれ</t>
        </is>
      </c>
      <c r="C296" s="3" t="inlineStr">
        <is>
          <t xml:space="preserve">Shear or Torsion </t>
        </is>
      </c>
      <c r="D296" s="3" t="inlineStr"/>
      <c r="E296" s="3" t="inlineStr"/>
      <c r="F296" s="3" t="inlineStr">
        <is>
          <t>https://matvoc.nims.go.jp/entity/Q2031</t>
        </is>
      </c>
      <c r="G296" s="3" t="inlineStr">
        <is>
          <t>2022-07-11 04:36:42.734137+00</t>
        </is>
      </c>
    </row>
    <row r="297" ht="18.75" customHeight="1">
      <c r="A297" s="3" t="inlineStr">
        <is>
          <t>630ee7e1-97b6-2315-3f06-af7515431897</t>
        </is>
      </c>
      <c r="B297" s="3" t="inlineStr">
        <is>
          <t>引っ張り試験</t>
        </is>
      </c>
      <c r="C297" s="3" t="inlineStr">
        <is>
          <t>Tension Test</t>
        </is>
      </c>
      <c r="D297" s="3" t="inlineStr"/>
      <c r="E297" s="3" t="inlineStr"/>
      <c r="F297" s="3" t="inlineStr">
        <is>
          <t>https://matvoc.nims.go.jp/entity/Q2032</t>
        </is>
      </c>
      <c r="G297" s="3" t="inlineStr">
        <is>
          <t>2022-07-11 04:36:42.734137+00</t>
        </is>
      </c>
    </row>
    <row r="298" ht="18.75" customHeight="1">
      <c r="A298" s="3" t="inlineStr">
        <is>
          <t>4bbc1d52-da05-f095-8f1d-31bd0a69b46f</t>
        </is>
      </c>
      <c r="B298" s="3" t="inlineStr">
        <is>
          <t>計算</t>
        </is>
      </c>
      <c r="C298" s="3" t="inlineStr">
        <is>
          <t>Calculation</t>
        </is>
      </c>
      <c r="D298" s="3" t="inlineStr"/>
      <c r="E298" s="3" t="inlineStr"/>
      <c r="F298" s="3" t="inlineStr">
        <is>
          <t>https://matvoc.nims.go.jp/entity/Q1913</t>
        </is>
      </c>
      <c r="G298" s="3" t="inlineStr">
        <is>
          <t>2022-07-11 04:36:42.734137+00</t>
        </is>
      </c>
    </row>
    <row r="299" ht="18.75" customHeight="1">
      <c r="A299" s="3" t="inlineStr">
        <is>
          <t>964f9f3f-bf68-28e2-5cb2-0c67689fbdd8</t>
        </is>
      </c>
      <c r="B299" s="3" t="inlineStr">
        <is>
          <t>理論計算・シミュレーション</t>
        </is>
      </c>
      <c r="C299" s="3" t="inlineStr">
        <is>
          <t>Theory Calculation,Simulation</t>
        </is>
      </c>
      <c r="D299" s="3" t="inlineStr"/>
      <c r="E299" s="3" t="inlineStr"/>
      <c r="F299" s="3" t="inlineStr">
        <is>
          <t>https://matvoc.nims.go.jp/entity/Q1904</t>
        </is>
      </c>
      <c r="G299" s="3" t="inlineStr">
        <is>
          <t>2022-07-11 04:36:42.734137+00</t>
        </is>
      </c>
    </row>
    <row r="300" ht="18.75" customHeight="1">
      <c r="A300" s="3" t="inlineStr">
        <is>
          <t>486feb96-191a-74b5-76d4-52c641f24c0a</t>
        </is>
      </c>
      <c r="B300" s="3" t="inlineStr">
        <is>
          <t>理論計算</t>
        </is>
      </c>
      <c r="C300" s="3" t="inlineStr">
        <is>
          <t>Theoritical Calculation</t>
        </is>
      </c>
      <c r="D300" s="3" t="inlineStr"/>
      <c r="E300" s="3" t="inlineStr"/>
      <c r="F300" s="3" t="inlineStr">
        <is>
          <t>https://matvoc.nims.go.jp/entity/Q2109</t>
        </is>
      </c>
      <c r="G300" s="3" t="inlineStr">
        <is>
          <t>2022-07-11 04:36:42.734137+00</t>
        </is>
      </c>
    </row>
    <row r="301" ht="18.75" customHeight="1">
      <c r="A301" s="3" t="inlineStr">
        <is>
          <t>ebfbb965-7b4b-df13-0263-7b4e47a28ffc</t>
        </is>
      </c>
      <c r="B301" s="3" t="inlineStr">
        <is>
          <t>シミュレーション</t>
        </is>
      </c>
      <c r="C301" s="3" t="inlineStr">
        <is>
          <t>Simulation</t>
        </is>
      </c>
      <c r="D301" s="3" t="inlineStr"/>
      <c r="E301" s="3" t="inlineStr"/>
      <c r="F301" s="3" t="inlineStr">
        <is>
          <t>https://matvoc.nims.go.jp/entity/Q2058</t>
        </is>
      </c>
      <c r="G301" s="3" t="inlineStr">
        <is>
          <t>2022-07-11 04:36:42.734137+00</t>
        </is>
      </c>
    </row>
    <row r="302" ht="18.75" customHeight="1">
      <c r="A302" s="3" t="inlineStr">
        <is>
          <t>241a5166-d0f4-7834-495e-b4f44852852a</t>
        </is>
      </c>
      <c r="B302" s="3" t="inlineStr">
        <is>
          <t>CAD</t>
        </is>
      </c>
      <c r="C302" s="3" t="inlineStr">
        <is>
          <t>Computer-Aided Design</t>
        </is>
      </c>
      <c r="D302" s="3" t="inlineStr"/>
      <c r="E302" s="3" t="inlineStr"/>
      <c r="F302" s="3" t="inlineStr">
        <is>
          <t>https://matvoc.nims.go.jp/entity/Q2033</t>
        </is>
      </c>
      <c r="G302" s="3" t="inlineStr">
        <is>
          <t>2022-07-11 04:36:42.734137+00</t>
        </is>
      </c>
    </row>
    <row r="303" ht="18.75" customHeight="1">
      <c r="A303" s="3" t="inlineStr">
        <is>
          <t>1c58e25b-976d-884e-57c0-df7777e1b911</t>
        </is>
      </c>
      <c r="B303" s="3" t="inlineStr">
        <is>
          <t>機械学習</t>
        </is>
      </c>
      <c r="C303" s="3" t="inlineStr">
        <is>
          <t>Machine Learning</t>
        </is>
      </c>
      <c r="D303" s="3" t="inlineStr"/>
      <c r="E303" s="3" t="inlineStr"/>
      <c r="F303" s="3" t="inlineStr">
        <is>
          <t>https://matvoc.nims.go.jp/entity/Q2034</t>
        </is>
      </c>
      <c r="G303" s="3" t="inlineStr">
        <is>
          <t>2022-07-11 04:36:42.734137+00</t>
        </is>
      </c>
    </row>
    <row r="304" ht="18.75" customHeight="1">
      <c r="A304" s="3" t="inlineStr">
        <is>
          <t>16a0dea1-6815-a98d-12ab-4c8b264e1492</t>
        </is>
      </c>
      <c r="B304" s="3" t="inlineStr">
        <is>
          <t>合成・プロセス装置</t>
        </is>
      </c>
      <c r="C304" s="3" t="inlineStr">
        <is>
          <t>Synthesis and Processing Instruments</t>
        </is>
      </c>
      <c r="D304" s="3" t="inlineStr"/>
      <c r="E304" s="3" t="inlineStr"/>
      <c r="F304" s="3" t="inlineStr">
        <is>
          <t>https://matvoc.nims.go.jp/entity/Q1914</t>
        </is>
      </c>
      <c r="G304" s="3" t="inlineStr">
        <is>
          <t>2022-07-11 04:36:42.734137+00</t>
        </is>
      </c>
    </row>
    <row r="305" ht="18.75" customHeight="1">
      <c r="A305" s="3" t="inlineStr">
        <is>
          <t>a6bee1ed-79c5-0e51-5baa-aab2c3090183</t>
        </is>
      </c>
      <c r="B305" s="3" t="inlineStr">
        <is>
          <t>蒸着・成膜装置</t>
        </is>
      </c>
      <c r="C305" s="3" t="inlineStr">
        <is>
          <t>Film formation, Deposition</t>
        </is>
      </c>
      <c r="D305" s="3" t="inlineStr"/>
      <c r="E305" s="3" t="inlineStr"/>
      <c r="F305" s="3" t="inlineStr">
        <is>
          <t>https://matvoc.nims.go.jp/entity/Q2012</t>
        </is>
      </c>
      <c r="G305" s="3" t="inlineStr">
        <is>
          <t>2022-07-11 04:36:42.734137+00</t>
        </is>
      </c>
    </row>
    <row r="306" ht="18.75" customHeight="1">
      <c r="A306" s="3" t="inlineStr">
        <is>
          <t>aa874ed9-ad8d-21ef-552f-8a1942675bf1</t>
        </is>
      </c>
      <c r="B306" s="3" t="inlineStr">
        <is>
          <t>原子層堆積(ALD)装置</t>
        </is>
      </c>
      <c r="C306" s="3" t="inlineStr">
        <is>
          <t>Atomic Layer Deposition System</t>
        </is>
      </c>
      <c r="D306" s="3" t="inlineStr"/>
      <c r="E306" s="3" t="inlineStr"/>
      <c r="F306" s="3" t="inlineStr">
        <is>
          <t>https://matvoc.nims.go.jp/entity/Q2035</t>
        </is>
      </c>
      <c r="G306" s="3" t="inlineStr">
        <is>
          <t>2022-07-11 04:36:42.734137+00</t>
        </is>
      </c>
    </row>
    <row r="307" ht="18.75" customHeight="1">
      <c r="A307" s="3" t="inlineStr">
        <is>
          <t>3b26b536-fd4a-6df7-0a0e-029246dcc16b</t>
        </is>
      </c>
      <c r="B307" s="3" t="inlineStr">
        <is>
          <t>コーター</t>
        </is>
      </c>
      <c r="C307" s="3" t="inlineStr">
        <is>
          <t>Coater</t>
        </is>
      </c>
      <c r="D307" s="3" t="inlineStr"/>
      <c r="E307" s="3" t="inlineStr"/>
      <c r="F307" s="3" t="inlineStr">
        <is>
          <t>https://matvoc.nims.go.jp/entity/Q2036</t>
        </is>
      </c>
      <c r="G307" s="3" t="inlineStr">
        <is>
          <t>2022-07-11 04:36:42.734137+00</t>
        </is>
      </c>
    </row>
    <row r="308" ht="18.75" customHeight="1">
      <c r="A308" s="3" t="inlineStr">
        <is>
          <t>17ea69fc-df0c-47a3-7c0d-aaf4646664d3</t>
        </is>
      </c>
      <c r="B308" s="3" t="inlineStr">
        <is>
          <t>化学蒸着(CVD)装置</t>
        </is>
      </c>
      <c r="C308" s="3" t="inlineStr">
        <is>
          <t>Chemical Vapor Deposition System</t>
        </is>
      </c>
      <c r="D308" s="3" t="inlineStr"/>
      <c r="E308" s="3" t="inlineStr"/>
      <c r="F308" s="3" t="inlineStr">
        <is>
          <t>https://matvoc.nims.go.jp/entity/Q2037</t>
        </is>
      </c>
      <c r="G308" s="3" t="inlineStr">
        <is>
          <t>2022-07-11 04:36:42.734137+00</t>
        </is>
      </c>
    </row>
    <row r="309" ht="18.75" customHeight="1">
      <c r="A309" s="3" t="inlineStr">
        <is>
          <t>6fdbb537-38b2-905e-e34f-77f7525b0a2a</t>
        </is>
      </c>
      <c r="B309" s="3" t="inlineStr">
        <is>
          <t>電着装置</t>
        </is>
      </c>
      <c r="C309" s="3" t="inlineStr">
        <is>
          <t>Electrodeposition System</t>
        </is>
      </c>
      <c r="D309" s="3" t="inlineStr"/>
      <c r="E309" s="3" t="inlineStr"/>
      <c r="F309" s="3" t="inlineStr">
        <is>
          <t>https://matvoc.nims.go.jp/entity/Q2038</t>
        </is>
      </c>
      <c r="G309" s="3" t="inlineStr">
        <is>
          <t>2022-07-11 04:36:42.734137+00</t>
        </is>
      </c>
    </row>
    <row r="310" ht="18.75" customHeight="1">
      <c r="A310" s="3" t="inlineStr">
        <is>
          <t>261b2899-48cd-f0d8-689f-b68edeb26d66</t>
        </is>
      </c>
      <c r="B310" s="3" t="inlineStr">
        <is>
          <t>物理蒸着(PVD)装置</t>
        </is>
      </c>
      <c r="C310" s="3" t="inlineStr">
        <is>
          <t>Physical Vapor Deposition System</t>
        </is>
      </c>
      <c r="D310" s="3" t="inlineStr"/>
      <c r="E310" s="3" t="inlineStr"/>
      <c r="F310" s="3" t="inlineStr">
        <is>
          <t>https://matvoc.nims.go.jp/entity/Q2039</t>
        </is>
      </c>
      <c r="G310" s="3" t="inlineStr">
        <is>
          <t>2022-07-11 04:36:42.734137+00</t>
        </is>
      </c>
    </row>
    <row r="311" ht="18.75" customHeight="1">
      <c r="A311" s="3" t="inlineStr">
        <is>
          <t>1703dc22-1da0-c5b7-92aa-a127acb2b588</t>
        </is>
      </c>
      <c r="B311" s="3" t="inlineStr">
        <is>
          <t>インクジェット堆積装置</t>
        </is>
      </c>
      <c r="C311" s="3" t="inlineStr">
        <is>
          <t>Ink-Jet Deposition System</t>
        </is>
      </c>
      <c r="D311" s="3" t="inlineStr"/>
      <c r="E311" s="3" t="inlineStr"/>
      <c r="F311" s="3" t="inlineStr">
        <is>
          <t>https://matvoc.nims.go.jp/entity/Q2040</t>
        </is>
      </c>
      <c r="G311" s="3" t="inlineStr">
        <is>
          <t>2022-07-11 04:36:42.734137+00</t>
        </is>
      </c>
    </row>
    <row r="312" ht="18.75" customHeight="1">
      <c r="A312" s="3" t="inlineStr">
        <is>
          <t>9da4fb00-3ca8-e68f-ad9e-3724af25bfe4</t>
        </is>
      </c>
      <c r="B312" s="3" t="inlineStr">
        <is>
          <t>ラングミュア - ブロジェット膜堆積装置</t>
        </is>
      </c>
      <c r="C312" s="3" t="inlineStr">
        <is>
          <t>Langmuir-Blodgett Film Deposition System</t>
        </is>
      </c>
      <c r="D312" s="3" t="inlineStr"/>
      <c r="E312" s="3" t="inlineStr"/>
      <c r="F312" s="3" t="inlineStr">
        <is>
          <t>https://matvoc.nims.go.jp/entity/Q2041</t>
        </is>
      </c>
      <c r="G312" s="3" t="inlineStr">
        <is>
          <t>2022-07-11 04:36:42.734137+00</t>
        </is>
      </c>
    </row>
    <row r="313" ht="18.75" customHeight="1">
      <c r="A313" s="3" t="inlineStr">
        <is>
          <t>745c14bb-d34a-8dfa-bd0e-d9a84fb56460</t>
        </is>
      </c>
      <c r="B313" s="3" t="inlineStr">
        <is>
          <t>プラズマ溶射装置</t>
        </is>
      </c>
      <c r="C313" s="3" t="inlineStr">
        <is>
          <t>Plasma Spray System</t>
        </is>
      </c>
      <c r="D313" s="3" t="inlineStr"/>
      <c r="E313" s="3" t="inlineStr"/>
      <c r="F313" s="3" t="inlineStr">
        <is>
          <t>https://matvoc.nims.go.jp/entity/Q2042</t>
        </is>
      </c>
      <c r="G313" s="3" t="inlineStr">
        <is>
          <t>2022-07-11 04:36:42.734137+00</t>
        </is>
      </c>
    </row>
    <row r="314" ht="18.75" customHeight="1">
      <c r="A314" s="3" t="inlineStr">
        <is>
          <t>bdddc620-e6dc-0df9-a4ee-30277f1bcc93</t>
        </is>
      </c>
      <c r="B314" s="3" t="inlineStr">
        <is>
          <t>スッパタリング（スパッタ）</t>
        </is>
      </c>
      <c r="C314" s="3" t="inlineStr">
        <is>
          <t>Sputtering</t>
        </is>
      </c>
      <c r="D314" s="3" t="inlineStr"/>
      <c r="E314" s="3" t="inlineStr"/>
      <c r="F314" s="3" t="inlineStr">
        <is>
          <t>https://matvoc.nims.go.jp/entity/Q2043</t>
        </is>
      </c>
      <c r="G314" s="3" t="inlineStr">
        <is>
          <t>2022-07-11 04:36:42.734137+00</t>
        </is>
      </c>
    </row>
    <row r="315" ht="18.75" customHeight="1">
      <c r="A315" s="3" t="inlineStr">
        <is>
          <t>9dc8b43b-18f0-44b6-c5d2-76fb844a174e</t>
        </is>
      </c>
      <c r="B315" s="3" t="inlineStr">
        <is>
          <t>成形装置</t>
        </is>
      </c>
      <c r="C315" s="3" t="inlineStr">
        <is>
          <t>Molding,Forming</t>
        </is>
      </c>
      <c r="D315" s="3" t="inlineStr"/>
      <c r="E315" s="3" t="inlineStr"/>
      <c r="F315" s="3" t="inlineStr">
        <is>
          <t>https://matvoc.nims.go.jp/entity/Q1916</t>
        </is>
      </c>
      <c r="G315" s="3" t="inlineStr">
        <is>
          <t>2022-07-11 04:36:42.734137+00</t>
        </is>
      </c>
    </row>
    <row r="316" ht="18.75" customHeight="1">
      <c r="A316" s="3" t="inlineStr">
        <is>
          <t>1a0effaf-3afa-ad1a-2b77-15c7f774e26a</t>
        </is>
      </c>
      <c r="B316" s="3" t="inlineStr">
        <is>
          <t>冷間圧延ローラー</t>
        </is>
      </c>
      <c r="C316" s="3" t="inlineStr">
        <is>
          <t>Cold Rollers</t>
        </is>
      </c>
      <c r="D316" s="3" t="inlineStr"/>
      <c r="E316" s="3" t="inlineStr"/>
      <c r="F316" s="3" t="inlineStr">
        <is>
          <t>https://matvoc.nims.go.jp/entity/Q2044</t>
        </is>
      </c>
      <c r="G316" s="3" t="inlineStr">
        <is>
          <t>2022-07-11 04:36:42.734137+00</t>
        </is>
      </c>
    </row>
    <row r="317" ht="18.75" customHeight="1">
      <c r="A317" s="3" t="inlineStr">
        <is>
          <t>98f5224f-05a6-493b-d187-4b05be541af5</t>
        </is>
      </c>
      <c r="B317" s="3" t="inlineStr">
        <is>
          <t>引抜金型</t>
        </is>
      </c>
      <c r="C317" s="3" t="inlineStr">
        <is>
          <t>Drawing Die</t>
        </is>
      </c>
      <c r="D317" s="3" t="inlineStr"/>
      <c r="E317" s="3" t="inlineStr"/>
      <c r="F317" s="3" t="inlineStr">
        <is>
          <t>https://matvoc.nims.go.jp/entity/Q2045</t>
        </is>
      </c>
      <c r="G317" s="3" t="inlineStr">
        <is>
          <t>2022-07-11 04:36:42.734137+00</t>
        </is>
      </c>
    </row>
    <row r="318" ht="18.75" customHeight="1">
      <c r="A318" s="3" t="inlineStr">
        <is>
          <t>6a8a60ff-b96b-1819-3de7-ce60cfa024d0</t>
        </is>
      </c>
      <c r="B318" s="3" t="inlineStr">
        <is>
          <t>押出金型</t>
        </is>
      </c>
      <c r="C318" s="3" t="inlineStr">
        <is>
          <t>Extrusion Die</t>
        </is>
      </c>
      <c r="D318" s="3" t="inlineStr"/>
      <c r="E318" s="3" t="inlineStr"/>
      <c r="F318" s="3" t="inlineStr">
        <is>
          <t>https://matvoc.nims.go.jp/entity/Q2046</t>
        </is>
      </c>
      <c r="G318" s="3" t="inlineStr">
        <is>
          <t>2022-07-11 04:36:42.734137+00</t>
        </is>
      </c>
    </row>
    <row r="319" ht="18.75" customHeight="1">
      <c r="A319" s="3" t="inlineStr">
        <is>
          <t>ff9fa4eb-3252-9490-1527-82d461ed2718</t>
        </is>
      </c>
      <c r="B319" s="3" t="inlineStr">
        <is>
          <t>鍛造機械</t>
        </is>
      </c>
      <c r="C319" s="3" t="inlineStr">
        <is>
          <t>Forging Equipment</t>
        </is>
      </c>
      <c r="D319" s="3" t="inlineStr"/>
      <c r="E319" s="3" t="inlineStr"/>
      <c r="F319" s="3" t="inlineStr">
        <is>
          <t>https://matvoc.nims.go.jp/entity/Q2047</t>
        </is>
      </c>
      <c r="G319" s="3" t="inlineStr">
        <is>
          <t>2022-07-11 04:36:42.734137+00</t>
        </is>
      </c>
    </row>
    <row r="320" ht="18.75" customHeight="1">
      <c r="A320" s="3" t="inlineStr">
        <is>
          <t>bb82de8a-2302-2661-6ccf-d7837d7057bc</t>
        </is>
      </c>
      <c r="B320" s="3" t="inlineStr">
        <is>
          <t>ホットプレス</t>
        </is>
      </c>
      <c r="C320" s="3" t="inlineStr">
        <is>
          <t>Hot Press</t>
        </is>
      </c>
      <c r="D320" s="3" t="inlineStr"/>
      <c r="E320" s="3" t="inlineStr"/>
      <c r="F320" s="3" t="inlineStr">
        <is>
          <t>https://matvoc.nims.go.jp/entity/Q2048</t>
        </is>
      </c>
      <c r="G320" s="3" t="inlineStr">
        <is>
          <t>2022-07-11 04:36:42.734137+00</t>
        </is>
      </c>
    </row>
    <row r="321" ht="18.75" customHeight="1">
      <c r="A321" s="3" t="inlineStr">
        <is>
          <t>032a6ca0-c366-85e0-7e99-6adc47e3c7a3</t>
        </is>
      </c>
      <c r="B321" s="3" t="inlineStr">
        <is>
          <t>熱間圧延ローラー</t>
        </is>
      </c>
      <c r="C321" s="3" t="inlineStr">
        <is>
          <t>Hot Rolling</t>
        </is>
      </c>
      <c r="D321" s="3" t="inlineStr"/>
      <c r="E321" s="3" t="inlineStr"/>
      <c r="F321" s="3" t="inlineStr">
        <is>
          <t>https://matvoc.nims.go.jp/entity/Q2049</t>
        </is>
      </c>
      <c r="G321" s="3" t="inlineStr">
        <is>
          <t>2022-07-11 04:36:42.734137+00</t>
        </is>
      </c>
    </row>
    <row r="322" ht="18.75" customHeight="1">
      <c r="A322" s="3" t="inlineStr">
        <is>
          <t>0143e014-fad3-2e8c-801a-926e408a0a05</t>
        </is>
      </c>
      <c r="B322" s="3" t="inlineStr">
        <is>
          <t>粉砕機</t>
        </is>
      </c>
      <c r="C322" s="3" t="inlineStr">
        <is>
          <t>Mill</t>
        </is>
      </c>
      <c r="D322" s="3" t="inlineStr"/>
      <c r="E322" s="3" t="inlineStr"/>
      <c r="F322" s="3" t="inlineStr">
        <is>
          <t>https://matvoc.nims.go.jp/entity/Q2050</t>
        </is>
      </c>
      <c r="G322" s="3" t="inlineStr">
        <is>
          <t>2022-07-11 04:36:42.734137+00</t>
        </is>
      </c>
    </row>
    <row r="323" ht="18.75" customHeight="1">
      <c r="A323" s="3" t="inlineStr">
        <is>
          <t>49cb3a34-99c5-6d2b-7a40-e2a5e1f7401d</t>
        </is>
      </c>
      <c r="B323" s="3" t="inlineStr">
        <is>
          <t>鋳型</t>
        </is>
      </c>
      <c r="C323" s="3" t="inlineStr">
        <is>
          <t>Molding</t>
        </is>
      </c>
      <c r="D323" s="3" t="inlineStr"/>
      <c r="E323" s="3" t="inlineStr"/>
      <c r="F323" s="3" t="inlineStr">
        <is>
          <t>https://matvoc.nims.go.jp/entity/Q2110</t>
        </is>
      </c>
      <c r="G323" s="3" t="inlineStr">
        <is>
          <t>2022-07-11 04:36:42.734137+00</t>
        </is>
      </c>
    </row>
    <row r="324" ht="18.75" customHeight="1">
      <c r="A324" s="3" t="inlineStr">
        <is>
          <t>b240ce65-8f2b-93cd-adcc-9d9efac455a6</t>
        </is>
      </c>
      <c r="B324" s="3" t="inlineStr">
        <is>
          <t>3Dプリンタ</t>
        </is>
      </c>
      <c r="C324" s="3" t="inlineStr">
        <is>
          <t>3D Printer</t>
        </is>
      </c>
      <c r="D324" s="3" t="inlineStr"/>
      <c r="E324" s="3" t="inlineStr"/>
      <c r="F324" s="3" t="inlineStr">
        <is>
          <t>https://matvoc.nims.go.jp/entity/Q2051</t>
        </is>
      </c>
      <c r="G324" s="3" t="inlineStr">
        <is>
          <t>2022-07-11 04:36:42.734137+00</t>
        </is>
      </c>
    </row>
    <row r="325" ht="18.75" customHeight="1">
      <c r="A325" s="3" t="inlineStr">
        <is>
          <t>e83fea69-d559-dbf9-3bac-54baba3c4ef0</t>
        </is>
      </c>
      <c r="B325" s="3" t="inlineStr">
        <is>
          <t>リソグラフィ</t>
        </is>
      </c>
      <c r="C325" s="3" t="inlineStr">
        <is>
          <t>Lithography</t>
        </is>
      </c>
      <c r="D325" s="3" t="inlineStr"/>
      <c r="E325" s="3" t="inlineStr"/>
      <c r="F325" s="3" t="inlineStr">
        <is>
          <t>https://matvoc.nims.go.jp/entity/Q1917</t>
        </is>
      </c>
      <c r="G325" s="3" t="inlineStr">
        <is>
          <t>2022-07-11 04:36:42.734137+00</t>
        </is>
      </c>
    </row>
    <row r="326" ht="18.75" customHeight="1">
      <c r="A326" s="3" t="inlineStr">
        <is>
          <t>db29daf1-9110-36fb-abc8-3800bedb14be</t>
        </is>
      </c>
      <c r="B326" s="3" t="inlineStr">
        <is>
          <t>光露光（マスクアライナ）</t>
        </is>
      </c>
      <c r="C326" s="3" t="inlineStr">
        <is>
          <t>Mask Aligner</t>
        </is>
      </c>
      <c r="D326" s="3" t="inlineStr"/>
      <c r="E326" s="3" t="inlineStr"/>
      <c r="F326" s="3" t="inlineStr">
        <is>
          <t>https://matvoc.nims.go.jp/entity/Q2052</t>
        </is>
      </c>
      <c r="G326" s="3" t="inlineStr">
        <is>
          <t>2022-07-11 04:36:42.734137+00</t>
        </is>
      </c>
    </row>
    <row r="327" ht="18.75" customHeight="1">
      <c r="A327" s="3" t="inlineStr">
        <is>
          <t>61e1c4a0-c646-ffad-276b-34491b7b44dd</t>
        </is>
      </c>
      <c r="B327" s="3" t="inlineStr">
        <is>
          <t>光露光（ステッパ）</t>
        </is>
      </c>
      <c r="C327" s="3" t="inlineStr">
        <is>
          <t>Stepper</t>
        </is>
      </c>
      <c r="D327" s="3" t="inlineStr"/>
      <c r="E327" s="3" t="inlineStr"/>
      <c r="F327" s="3" t="inlineStr">
        <is>
          <t>https://matvoc.nims.go.jp/entity/Q2053</t>
        </is>
      </c>
      <c r="G327" s="3" t="inlineStr">
        <is>
          <t>2022-07-11 04:36:42.734137+00</t>
        </is>
      </c>
    </row>
    <row r="328" ht="18.75" customHeight="1">
      <c r="A328" s="3" t="inlineStr">
        <is>
          <t>f20b6729-0916-671d-37d5-2c996184d526</t>
        </is>
      </c>
      <c r="B328" s="3" t="inlineStr">
        <is>
          <t>光露光（マスクレス、直接描画）</t>
        </is>
      </c>
      <c r="C328" s="3" t="inlineStr">
        <is>
          <t>Maskless Exposure System</t>
        </is>
      </c>
      <c r="D328" s="3" t="inlineStr"/>
      <c r="E328" s="3" t="inlineStr"/>
      <c r="F328" s="3" t="inlineStr">
        <is>
          <t>https://matvoc.nims.go.jp/entity/Q2054</t>
        </is>
      </c>
      <c r="G328" s="3" t="inlineStr">
        <is>
          <t>2022-07-11 04:36:42.734137+00</t>
        </is>
      </c>
    </row>
    <row r="329" ht="18.75" customHeight="1">
      <c r="A329" s="3" t="inlineStr">
        <is>
          <t>e826ffd0-412c-94f6-fdf5-bed7e00fe9af</t>
        </is>
      </c>
      <c r="B329" s="3" t="inlineStr">
        <is>
          <t>電子線描画（EB）</t>
        </is>
      </c>
      <c r="C329" s="3" t="inlineStr">
        <is>
          <t>Electron Beam Lithography</t>
        </is>
      </c>
      <c r="D329" s="3" t="inlineStr"/>
      <c r="E329" s="3" t="inlineStr"/>
      <c r="F329" s="3" t="inlineStr">
        <is>
          <t>https://matvoc.nims.go.jp/entity/Q2055</t>
        </is>
      </c>
      <c r="G329" s="3" t="inlineStr">
        <is>
          <t>2022-07-11 04:36:42.734137+00</t>
        </is>
      </c>
    </row>
    <row r="330" ht="18.75" customHeight="1">
      <c r="A330" s="3" t="inlineStr">
        <is>
          <t>ba60962a-7513-b3a2-35fe-47c97df06535</t>
        </is>
      </c>
      <c r="B330" s="3" t="inlineStr">
        <is>
          <t>ナノインプリント</t>
        </is>
      </c>
      <c r="C330" s="3" t="inlineStr">
        <is>
          <t>Nanoimprint Lithography</t>
        </is>
      </c>
      <c r="D330" s="3" t="inlineStr"/>
      <c r="E330" s="3" t="inlineStr"/>
      <c r="F330" s="3" t="inlineStr">
        <is>
          <t>https://matvoc.nims.go.jp/entity/Q2056</t>
        </is>
      </c>
      <c r="G330" s="3" t="inlineStr">
        <is>
          <t>2022-07-11 04:36:42.734137+00</t>
        </is>
      </c>
    </row>
    <row r="331" ht="18.75" customHeight="1">
      <c r="A331" s="3" t="inlineStr">
        <is>
          <t>cdd484ac-8e28-4fd7-6f64-6e8ed02740f0</t>
        </is>
      </c>
      <c r="B331" s="3" t="inlineStr">
        <is>
          <t>膜加工・エッチング</t>
        </is>
      </c>
      <c r="C331" s="3" t="inlineStr">
        <is>
          <t>Etching</t>
        </is>
      </c>
      <c r="D331" s="3" t="inlineStr"/>
      <c r="E331" s="3" t="inlineStr"/>
      <c r="F331" s="3" t="inlineStr">
        <is>
          <t>https://matvoc.nims.go.jp/entity/Q1918</t>
        </is>
      </c>
      <c r="G331" s="3" t="inlineStr">
        <is>
          <t>2022-07-11 04:36:42.734137+00</t>
        </is>
      </c>
    </row>
    <row r="332" ht="18.75" customHeight="1">
      <c r="A332" s="3" t="inlineStr">
        <is>
          <t>4136d70b-55ea-66b6-86f3-649c42c3196c</t>
        </is>
      </c>
      <c r="B332" s="3" t="inlineStr">
        <is>
          <t>ドライエッチング（RIE）</t>
        </is>
      </c>
      <c r="C332" s="3" t="inlineStr">
        <is>
          <t>Dry Etching(Reactive Ion Etching)</t>
        </is>
      </c>
      <c r="D332" s="3" t="inlineStr"/>
      <c r="E332" s="3" t="inlineStr"/>
      <c r="F332" s="3" t="inlineStr">
        <is>
          <t>https://matvoc.nims.go.jp/entity/Q2057</t>
        </is>
      </c>
      <c r="G332" s="3" t="inlineStr">
        <is>
          <t>2022-07-11 04:36:42.734137+00</t>
        </is>
      </c>
    </row>
    <row r="333" ht="18.75" customHeight="1">
      <c r="A333" s="3" t="inlineStr">
        <is>
          <t>49de9448-5281-2018-684c-4f665bb19953</t>
        </is>
      </c>
      <c r="B333" s="3" t="inlineStr">
        <is>
          <t>ドライエッチング（ECR）</t>
        </is>
      </c>
      <c r="C333" s="3" t="inlineStr">
        <is>
          <t>Dry Etching(Electron Cyclotron Resonance-RIE)</t>
        </is>
      </c>
      <c r="D333" s="3" t="inlineStr"/>
      <c r="E333" s="3" t="inlineStr"/>
      <c r="F333" s="3" t="inlineStr">
        <is>
          <t>https://matvoc.nims.go.jp/entity/Q2059</t>
        </is>
      </c>
      <c r="G333" s="3" t="inlineStr">
        <is>
          <t>2022-07-11 04:36:42.734137+00</t>
        </is>
      </c>
    </row>
    <row r="334" ht="18.75" customHeight="1">
      <c r="A334" s="3" t="inlineStr">
        <is>
          <t>8fe177e6-cbad-d31d-304c-c61a459a1703</t>
        </is>
      </c>
      <c r="B334" s="3" t="inlineStr">
        <is>
          <t>ドライエッチング（その他）</t>
        </is>
      </c>
      <c r="C334" s="3" t="inlineStr">
        <is>
          <t>Dry Etching(Others)</t>
        </is>
      </c>
      <c r="D334" s="3" t="inlineStr"/>
      <c r="E334" s="3" t="inlineStr"/>
      <c r="F334" s="3" t="inlineStr">
        <is>
          <t>https://matvoc.nims.go.jp/entity/Q2060</t>
        </is>
      </c>
      <c r="G334" s="3" t="inlineStr">
        <is>
          <t>2022-07-11 04:36:42.734137+00</t>
        </is>
      </c>
    </row>
    <row r="335" ht="18.75" customHeight="1">
      <c r="A335" s="3" t="inlineStr">
        <is>
          <t>e8cddaaf-3b36-1fb4-0749-f389088e40fc</t>
        </is>
      </c>
      <c r="B335" s="3" t="inlineStr">
        <is>
          <t>ウェット／ガスエッチング</t>
        </is>
      </c>
      <c r="C335" s="3" t="inlineStr">
        <is>
          <t>Wet Etching/Gas Etching</t>
        </is>
      </c>
      <c r="D335" s="3" t="inlineStr"/>
      <c r="E335" s="3" t="inlineStr"/>
      <c r="F335" s="3" t="inlineStr">
        <is>
          <t>https://matvoc.nims.go.jp/entity/Q2061</t>
        </is>
      </c>
      <c r="G335" s="3" t="inlineStr">
        <is>
          <t>2022-07-11 04:36:42.734137+00</t>
        </is>
      </c>
    </row>
    <row r="336" ht="18.75" customHeight="1">
      <c r="A336" s="3" t="inlineStr">
        <is>
          <t>ff720d56-381a-7b0f-a308-3912b3630caa</t>
        </is>
      </c>
      <c r="B336" s="3" t="inlineStr">
        <is>
          <t>レーザー加工</t>
        </is>
      </c>
      <c r="C336" s="3" t="inlineStr">
        <is>
          <t>Laser Processing</t>
        </is>
      </c>
      <c r="D336" s="3" t="inlineStr"/>
      <c r="E336" s="3" t="inlineStr"/>
      <c r="F336" s="3" t="inlineStr">
        <is>
          <t>https://matvoc.nims.go.jp/entity/Q2062</t>
        </is>
      </c>
      <c r="G336" s="3" t="inlineStr">
        <is>
          <t>2022-07-11 04:36:42.734137+00</t>
        </is>
      </c>
    </row>
    <row r="337" ht="18.75" customHeight="1">
      <c r="A337" s="3" t="inlineStr">
        <is>
          <t>f15fb97f-ba7f-8733-3862-b847511b1728</t>
        </is>
      </c>
      <c r="B337" s="3" t="inlineStr">
        <is>
          <t>その他加工装置</t>
        </is>
      </c>
      <c r="C337" s="3" t="inlineStr">
        <is>
          <t>Processing</t>
        </is>
      </c>
      <c r="D337" s="3" t="inlineStr"/>
      <c r="E337" s="3" t="inlineStr"/>
      <c r="F337" s="3" t="inlineStr">
        <is>
          <t>https://matvoc.nims.go.jp/entity/Q1919</t>
        </is>
      </c>
      <c r="G337" s="3" t="inlineStr">
        <is>
          <t>2022-07-11 04:36:42.734137+00</t>
        </is>
      </c>
    </row>
    <row r="338" ht="18.75" customHeight="1">
      <c r="A338" s="3" t="inlineStr">
        <is>
          <t>916e4a01-1b70-433f-344d-ae06716c9677</t>
        </is>
      </c>
      <c r="B338" s="3" t="inlineStr">
        <is>
          <t>酸化</t>
        </is>
      </c>
      <c r="C338" s="3" t="inlineStr">
        <is>
          <t>Oxidization System</t>
        </is>
      </c>
      <c r="D338" s="3" t="inlineStr"/>
      <c r="E338" s="3" t="inlineStr"/>
      <c r="F338" s="3" t="inlineStr">
        <is>
          <t>https://matvoc.nims.go.jp/entity/Q2063</t>
        </is>
      </c>
      <c r="G338" s="3" t="inlineStr">
        <is>
          <t>2022-07-11 04:36:42.734137+00</t>
        </is>
      </c>
    </row>
    <row r="339" ht="18.75" customHeight="1">
      <c r="A339" s="3" t="inlineStr">
        <is>
          <t>d38611ff-baee-02b8-c3e3-2984cbb452ec</t>
        </is>
      </c>
      <c r="B339" s="3" t="inlineStr">
        <is>
          <t>拡散</t>
        </is>
      </c>
      <c r="C339" s="3" t="inlineStr">
        <is>
          <t>Diffusion System</t>
        </is>
      </c>
      <c r="D339" s="3" t="inlineStr"/>
      <c r="E339" s="3" t="inlineStr"/>
      <c r="F339" s="3" t="inlineStr">
        <is>
          <t>https://matvoc.nims.go.jp/entity/Q2006</t>
        </is>
      </c>
      <c r="G339" s="3" t="inlineStr">
        <is>
          <t>2022-07-11 04:36:42.734137+00</t>
        </is>
      </c>
    </row>
    <row r="340" ht="18.75" customHeight="1">
      <c r="A340" s="3" t="inlineStr">
        <is>
          <t>a6dc608d-330d-2399-0d56-635163221e2e</t>
        </is>
      </c>
      <c r="B340" s="3" t="inlineStr">
        <is>
          <t>イオン注入</t>
        </is>
      </c>
      <c r="C340" s="3" t="inlineStr">
        <is>
          <t>Ion Implantation</t>
        </is>
      </c>
      <c r="D340" s="3" t="inlineStr"/>
      <c r="E340" s="3" t="inlineStr"/>
      <c r="F340" s="3" t="inlineStr">
        <is>
          <t>https://matvoc.nims.go.jp/entity/Q2065</t>
        </is>
      </c>
      <c r="G340" s="3" t="inlineStr">
        <is>
          <t>2022-07-11 04:36:42.734137+00</t>
        </is>
      </c>
    </row>
    <row r="341" ht="18.75" customHeight="1">
      <c r="A341" s="3" t="inlineStr">
        <is>
          <t>1720c881-c98c-1d0c-b2c7-4822326679bd</t>
        </is>
      </c>
      <c r="B341" s="3" t="inlineStr">
        <is>
          <t>接合</t>
        </is>
      </c>
      <c r="C341" s="3" t="inlineStr">
        <is>
          <t>Bonder</t>
        </is>
      </c>
      <c r="D341" s="3" t="inlineStr"/>
      <c r="E341" s="3" t="inlineStr"/>
      <c r="F341" s="3" t="inlineStr">
        <is>
          <t>https://matvoc.nims.go.jp/entity/Q2066</t>
        </is>
      </c>
      <c r="G341" s="3" t="inlineStr">
        <is>
          <t>2022-07-11 04:36:42.734137+00</t>
        </is>
      </c>
    </row>
    <row r="342" ht="18.75" customHeight="1">
      <c r="A342" s="3" t="inlineStr">
        <is>
          <t>7951f619-5c3a-6d47-ea9f-721d448585c2</t>
        </is>
      </c>
      <c r="B342" s="3" t="inlineStr">
        <is>
          <t>レジスト塗布</t>
        </is>
      </c>
      <c r="C342" s="3" t="inlineStr">
        <is>
          <t>Photoresist Spin Coater</t>
        </is>
      </c>
      <c r="D342" s="3" t="inlineStr"/>
      <c r="E342" s="3" t="inlineStr"/>
      <c r="F342" s="3" t="inlineStr">
        <is>
          <t>https://matvoc.nims.go.jp/entity/Q2067</t>
        </is>
      </c>
      <c r="G342" s="3" t="inlineStr">
        <is>
          <t>2022-07-11 04:36:42.734137+00</t>
        </is>
      </c>
    </row>
    <row r="343" ht="18.75" customHeight="1">
      <c r="A343" s="3" t="inlineStr">
        <is>
          <t>f8b19a20-1f10-e948-12c6-093e3145b0c1</t>
        </is>
      </c>
      <c r="B343" s="3" t="inlineStr">
        <is>
          <t>現像装置</t>
        </is>
      </c>
      <c r="C343" s="3" t="inlineStr">
        <is>
          <t>Photoresist Developer</t>
        </is>
      </c>
      <c r="D343" s="3" t="inlineStr"/>
      <c r="E343" s="3" t="inlineStr"/>
      <c r="F343" s="3" t="inlineStr">
        <is>
          <t>https://matvoc.nims.go.jp/entity/Q2068</t>
        </is>
      </c>
      <c r="G343" s="3" t="inlineStr">
        <is>
          <t>2022-07-11 04:36:42.734137+00</t>
        </is>
      </c>
    </row>
    <row r="344" ht="18.75" customHeight="1">
      <c r="A344" s="3" t="inlineStr">
        <is>
          <t>f20292de-998e-e192-da8b-95e4ab800ed8</t>
        </is>
      </c>
      <c r="B344" s="3" t="inlineStr">
        <is>
          <t>合成設備</t>
        </is>
      </c>
      <c r="C344" s="3" t="inlineStr">
        <is>
          <t>Synthesis</t>
        </is>
      </c>
      <c r="D344" s="3" t="inlineStr"/>
      <c r="E344" s="3" t="inlineStr"/>
      <c r="F344" s="3" t="inlineStr">
        <is>
          <t>https://matvoc.nims.go.jp/entity/Q1920</t>
        </is>
      </c>
      <c r="G344" s="3" t="inlineStr">
        <is>
          <t>2022-07-11 04:36:42.734137+00</t>
        </is>
      </c>
    </row>
    <row r="345" ht="18.75" customHeight="1">
      <c r="A345" s="3" t="inlineStr">
        <is>
          <t>49591a89-a59d-8d3f-d7cd-a4742f239339</t>
        </is>
      </c>
      <c r="B345" s="3" t="inlineStr">
        <is>
          <t>分注機</t>
        </is>
      </c>
      <c r="C345" s="3" t="inlineStr">
        <is>
          <t>Dispenser</t>
        </is>
      </c>
      <c r="D345" s="3" t="inlineStr"/>
      <c r="E345" s="3" t="inlineStr"/>
      <c r="F345" s="3" t="inlineStr">
        <is>
          <t>https://matvoc.nims.go.jp/entity/Q1983</t>
        </is>
      </c>
      <c r="G345" s="3" t="inlineStr">
        <is>
          <t>2022-07-11 04:36:42.734137+00</t>
        </is>
      </c>
    </row>
    <row r="346" ht="18.75" customHeight="1">
      <c r="A346" s="3" t="inlineStr">
        <is>
          <t>ebc1ce7d-6359-3d35-0e0b-73e848504393</t>
        </is>
      </c>
      <c r="B346" s="3" t="inlineStr">
        <is>
          <t>遠心機</t>
        </is>
      </c>
      <c r="C346" s="3" t="inlineStr">
        <is>
          <t>Centrifuge</t>
        </is>
      </c>
      <c r="D346" s="3" t="inlineStr"/>
      <c r="E346" s="3" t="inlineStr"/>
      <c r="F346" s="3" t="inlineStr">
        <is>
          <t>https://matvoc.nims.go.jp/entity/Q2070</t>
        </is>
      </c>
      <c r="G346" s="3" t="inlineStr">
        <is>
          <t>2022-07-11 04:36:42.734137+00</t>
        </is>
      </c>
    </row>
    <row r="347" ht="18.75" customHeight="1">
      <c r="A347" s="3" t="inlineStr">
        <is>
          <t>4a684b87-c1db-005f-9935-f75b4e2f9056</t>
        </is>
      </c>
      <c r="B347" s="3" t="inlineStr">
        <is>
          <t>撹拌機</t>
        </is>
      </c>
      <c r="C347" s="3" t="inlineStr">
        <is>
          <t>Stirrer</t>
        </is>
      </c>
      <c r="D347" s="3" t="inlineStr"/>
      <c r="E347" s="3" t="inlineStr"/>
      <c r="F347" s="3" t="inlineStr">
        <is>
          <t>https://matvoc.nims.go.jp/entity/Q2071</t>
        </is>
      </c>
      <c r="G347" s="3" t="inlineStr">
        <is>
          <t>2022-07-11 04:36:42.734137+00</t>
        </is>
      </c>
    </row>
    <row r="348" ht="18.75" customHeight="1">
      <c r="A348" s="3" t="inlineStr">
        <is>
          <t>33c6e9dc-5787-0f96-7683-f39281c60419</t>
        </is>
      </c>
      <c r="B348" s="3" t="inlineStr">
        <is>
          <t>化学式、組成式、分子式など</t>
        </is>
      </c>
      <c r="C348" s="3" t="inlineStr">
        <is>
          <t>Chemical formula, composition formula, molecular formula, etc.</t>
        </is>
      </c>
      <c r="D348" s="3" t="inlineStr">
        <is>
          <t>化学式、組成式、分子式などを入力してください</t>
        </is>
      </c>
      <c r="E348" s="3" t="inlineStr">
        <is>
          <t>Please enter Chemical formula, composition formula, molecular formula, etc.</t>
        </is>
      </c>
      <c r="F348" s="3" t="inlineStr">
        <is>
          <t>NULL</t>
        </is>
      </c>
      <c r="G348" s="3" t="inlineStr">
        <is>
          <t>2022-07-11 04:36:42.734137+00</t>
        </is>
      </c>
    </row>
    <row r="349" ht="18.75" customHeight="1">
      <c r="A349" s="3" t="inlineStr">
        <is>
          <t>f2d5e89e-01f0-66a2-5d8e-623a4fc31698</t>
        </is>
      </c>
      <c r="B349" s="3" t="inlineStr">
        <is>
          <t>物質名</t>
        </is>
      </c>
      <c r="C349" s="3" t="inlineStr">
        <is>
          <t>Material name</t>
        </is>
      </c>
      <c r="D349" s="3" t="inlineStr">
        <is>
          <t>物質名を入力してください</t>
        </is>
      </c>
      <c r="E349" s="3" t="inlineStr">
        <is>
          <t>Please enter Material name</t>
        </is>
      </c>
      <c r="F349" s="3" t="inlineStr">
        <is>
          <t>NULL</t>
        </is>
      </c>
      <c r="G349" s="3" t="inlineStr">
        <is>
          <t>2022-07-11 04:36:42.734137+00</t>
        </is>
      </c>
    </row>
    <row r="350" ht="18.75" customHeight="1">
      <c r="A350" s="3" t="inlineStr">
        <is>
          <t>a7a6fc7b-ed46-88b0-bba8-a1e34857a049</t>
        </is>
      </c>
      <c r="B350" s="3" t="inlineStr">
        <is>
          <t>試料別名</t>
        </is>
      </c>
      <c r="C350" s="3" t="inlineStr">
        <is>
          <t>Another sample name</t>
        </is>
      </c>
      <c r="D350" s="3" t="inlineStr">
        <is>
          <t>試料別名を入力してください</t>
        </is>
      </c>
      <c r="E350" s="3" t="inlineStr">
        <is>
          <t>Please enter Another sample name</t>
        </is>
      </c>
      <c r="F350" s="3" t="inlineStr">
        <is>
          <t>NULL</t>
        </is>
      </c>
      <c r="G350" s="3" t="inlineStr">
        <is>
          <t>2022-07-11 04:36:42.734137+00</t>
        </is>
      </c>
    </row>
    <row r="351" ht="18.75" customHeight="1">
      <c r="A351" s="3" t="inlineStr">
        <is>
          <t>f207e704-9308-42f0-b090-98e2db81c757</t>
        </is>
      </c>
      <c r="B351" s="3" t="inlineStr">
        <is>
          <t>グロー放電質量分析法</t>
        </is>
      </c>
      <c r="C351" s="3" t="inlineStr">
        <is>
          <t>Glow Discharge Mass Spectrometry</t>
        </is>
      </c>
      <c r="D351" s="3" t="inlineStr">
        <is>
          <t>NULL</t>
        </is>
      </c>
      <c r="E351" s="3" t="inlineStr">
        <is>
          <t>NULL</t>
        </is>
      </c>
      <c r="F351" s="3" t="inlineStr">
        <is>
          <t>https://matvoc.nims.go.jp/entity/Q2839</t>
        </is>
      </c>
      <c r="G351" s="3" t="inlineStr">
        <is>
          <t>2022-09-05 04:02:31.114117+00</t>
        </is>
      </c>
    </row>
    <row r="352" ht="18.75" customHeight="1">
      <c r="A352" s="3" t="inlineStr">
        <is>
          <t>0d0417a3-3c3b-496a-b0fb-5a26f8a74166</t>
        </is>
      </c>
      <c r="B352" s="3" t="inlineStr">
        <is>
          <t>ロット番号、製造番号など</t>
        </is>
      </c>
      <c r="C352" s="3" t="inlineStr">
        <is>
          <t>Lot number or product number etc</t>
        </is>
      </c>
      <c r="D352" s="3" t="inlineStr"/>
      <c r="E352" s="3" t="inlineStr"/>
      <c r="F352" s="3" t="inlineStr">
        <is>
          <t>NULL</t>
        </is>
      </c>
      <c r="G352" s="3" t="inlineStr">
        <is>
          <t>2022-10-11 06:13:06.860778+00</t>
        </is>
      </c>
    </row>
    <row r="353" ht="18.75" customHeight="1">
      <c r="A353" s="3" t="inlineStr">
        <is>
          <t>e2d20d02-2e38-2cd3-b1b3-66fdb8a11057</t>
        </is>
      </c>
      <c r="B353" s="3" t="inlineStr">
        <is>
          <t>CAS番号</t>
        </is>
      </c>
      <c r="C353" s="3" t="inlineStr">
        <is>
          <t>CAS Number</t>
        </is>
      </c>
      <c r="D353" s="3" t="inlineStr">
        <is>
          <t>CAS番号を入力してください</t>
        </is>
      </c>
      <c r="E353" s="3" t="inlineStr">
        <is>
          <t>Please enter CAS Number</t>
        </is>
      </c>
      <c r="F353" s="3" t="inlineStr">
        <is>
          <t>NULL</t>
        </is>
      </c>
      <c r="G353" s="3" t="inlineStr">
        <is>
          <t>2022-07-11 04:36:42.734137+00</t>
        </is>
      </c>
    </row>
    <row r="354" ht="18.75" customHeight="1">
      <c r="A354" s="3" t="inlineStr">
        <is>
          <t>1e70d11d-cbdd-bfd1-9301-9612c29b4060</t>
        </is>
      </c>
      <c r="B354" s="3" t="inlineStr">
        <is>
          <t>試料購入日</t>
        </is>
      </c>
      <c r="C354" s="3" t="inlineStr">
        <is>
          <t>Purchase date</t>
        </is>
      </c>
      <c r="D354" s="3" t="inlineStr">
        <is>
          <t>試料購入日を入力してください</t>
        </is>
      </c>
      <c r="E354" s="3" t="inlineStr">
        <is>
          <t>Please enter Purchase date</t>
        </is>
      </c>
      <c r="F354" s="3" t="inlineStr">
        <is>
          <t>NULL</t>
        </is>
      </c>
      <c r="G354" s="3" t="inlineStr">
        <is>
          <t>2022-07-11 04:36:42.734137+00</t>
        </is>
      </c>
    </row>
    <row r="355" ht="18.75" customHeight="1">
      <c r="A355" s="3" t="inlineStr">
        <is>
          <t>1d3cab05-3eaa-cb9b-9a3f-20eb0ca26963</t>
        </is>
      </c>
      <c r="B355" s="3" t="inlineStr">
        <is>
          <t>結晶状態</t>
        </is>
      </c>
      <c r="C355" s="3" t="inlineStr">
        <is>
          <t>Crystalline state</t>
        </is>
      </c>
      <c r="D355" s="3" t="inlineStr">
        <is>
          <t>結晶状態を入力してください</t>
        </is>
      </c>
      <c r="E355" s="3" t="inlineStr">
        <is>
          <t>Please enter Crystalline state</t>
        </is>
      </c>
      <c r="F355" s="3" t="inlineStr">
        <is>
          <t>NULL</t>
        </is>
      </c>
      <c r="G355" s="3" t="inlineStr">
        <is>
          <t>2022-07-11 04:36:42.734137+00</t>
        </is>
      </c>
    </row>
    <row r="356" ht="18.75" customHeight="1">
      <c r="A356" s="3" t="inlineStr">
        <is>
          <t>efcf34e7-4308-c195-6691-6f4d28ffc9bb</t>
        </is>
      </c>
      <c r="B356" s="3" t="inlineStr">
        <is>
          <t>結晶構造</t>
        </is>
      </c>
      <c r="C356" s="3" t="inlineStr">
        <is>
          <t>Crystal structure</t>
        </is>
      </c>
      <c r="D356" s="3" t="inlineStr">
        <is>
          <t>結晶構造を入力してください</t>
        </is>
      </c>
      <c r="E356" s="3" t="inlineStr">
        <is>
          <t>Please enter Crystal structure</t>
        </is>
      </c>
      <c r="F356" s="3" t="inlineStr">
        <is>
          <t>NULL</t>
        </is>
      </c>
      <c r="G356" s="3" t="inlineStr">
        <is>
          <t>2022-07-11 04:36:42.734137+00</t>
        </is>
      </c>
    </row>
    <row r="357" ht="18.75" customHeight="1">
      <c r="A357" s="3" t="inlineStr">
        <is>
          <t>e9617207-7f74-ef45-9b05-74eef6e4ecbb</t>
        </is>
      </c>
      <c r="B357" s="3" t="inlineStr">
        <is>
          <t>ピアソン記号</t>
        </is>
      </c>
      <c r="C357" s="3" t="inlineStr">
        <is>
          <t>Pearson symbol</t>
        </is>
      </c>
      <c r="D357" s="3" t="inlineStr">
        <is>
          <t>ピアソン記号を入力してください</t>
        </is>
      </c>
      <c r="E357" s="3" t="inlineStr">
        <is>
          <t>Please enter Pearson symbol</t>
        </is>
      </c>
      <c r="F357" s="3" t="inlineStr">
        <is>
          <t>NULL</t>
        </is>
      </c>
      <c r="G357" s="3" t="inlineStr">
        <is>
          <t>2022-07-11 04:36:42.734137+00</t>
        </is>
      </c>
    </row>
    <row r="358" ht="18.75" customHeight="1">
      <c r="A358" s="3" t="inlineStr">
        <is>
          <t>f63149a4-e57c-4273-4c1e-dffa41356d28</t>
        </is>
      </c>
      <c r="B358" s="3" t="inlineStr">
        <is>
          <t>空間群</t>
        </is>
      </c>
      <c r="C358" s="3" t="inlineStr">
        <is>
          <t>Space group</t>
        </is>
      </c>
      <c r="D358" s="3" t="inlineStr">
        <is>
          <t>空間群を入力してください</t>
        </is>
      </c>
      <c r="E358" s="3" t="inlineStr">
        <is>
          <t>Please enter Space group</t>
        </is>
      </c>
      <c r="F358" s="3" t="inlineStr">
        <is>
          <t>https://matvoc.nims.go.jp/wiki/Item:Q224</t>
        </is>
      </c>
      <c r="G358" s="3" t="inlineStr">
        <is>
          <t>2022-07-11 04:36:42.734137+00</t>
        </is>
      </c>
    </row>
    <row r="359" ht="18.75" customHeight="1">
      <c r="A359" s="3" t="inlineStr">
        <is>
          <t>7cc57dfb-8b70-4b3a-5315-fbce4cbf73d0</t>
        </is>
      </c>
      <c r="B359" s="3" t="inlineStr">
        <is>
          <t>試料形状</t>
        </is>
      </c>
      <c r="C359" s="3" t="inlineStr">
        <is>
          <t>Sample shape</t>
        </is>
      </c>
      <c r="D359" s="3" t="inlineStr">
        <is>
          <t>試料形状を入力してください</t>
        </is>
      </c>
      <c r="E359" s="3" t="inlineStr">
        <is>
          <t>Please enter Sample shape</t>
        </is>
      </c>
      <c r="F359" s="3" t="inlineStr">
        <is>
          <t>NULL</t>
        </is>
      </c>
      <c r="G359" s="3" t="inlineStr">
        <is>
          <t>2022-07-11 04:36:42.734137+00</t>
        </is>
      </c>
    </row>
    <row r="360" ht="18.75" customHeight="1">
      <c r="A360" s="3" t="inlineStr">
        <is>
          <t>3250c45d-0ed6-1438-43b5-eb679918604a</t>
        </is>
      </c>
      <c r="B360" s="3" t="inlineStr">
        <is>
          <t>化学式</t>
        </is>
      </c>
      <c r="C360" s="3" t="inlineStr">
        <is>
          <t>Chemical formula</t>
        </is>
      </c>
      <c r="D360" s="3" t="inlineStr">
        <is>
          <t>化学式を入力してください</t>
        </is>
      </c>
      <c r="E360" s="3" t="inlineStr">
        <is>
          <t>Please enter Chemical formula</t>
        </is>
      </c>
      <c r="F360" s="3" t="inlineStr">
        <is>
          <t>NULL</t>
        </is>
      </c>
      <c r="G360" s="3" t="inlineStr">
        <is>
          <t>2022-07-11 04:36:42.734137+00</t>
        </is>
      </c>
    </row>
    <row r="361" ht="18.75" customHeight="1">
      <c r="A361" s="3" t="inlineStr">
        <is>
          <t>70c2c751-5404-19b7-4a5e-981e6cebbb15</t>
        </is>
      </c>
      <c r="B361" s="3" t="inlineStr">
        <is>
          <t>名称</t>
        </is>
      </c>
      <c r="C361" s="3" t="inlineStr">
        <is>
          <t>Name</t>
        </is>
      </c>
      <c r="D361" s="3" t="inlineStr">
        <is>
          <t>名称を入力してください</t>
        </is>
      </c>
      <c r="E361" s="3" t="inlineStr">
        <is>
          <t>Please enter Name</t>
        </is>
      </c>
      <c r="F361" s="3" t="inlineStr">
        <is>
          <t>NULL</t>
        </is>
      </c>
      <c r="G361" s="3" t="inlineStr">
        <is>
          <t>2022-07-11 04:36:42.734137+00</t>
        </is>
      </c>
    </row>
    <row r="362" ht="18.75" customHeight="1">
      <c r="A362" s="3" t="inlineStr">
        <is>
          <t>518e26a0-4262-86f5-3598-80e18e6ff2af</t>
        </is>
      </c>
      <c r="B362" s="3" t="inlineStr">
        <is>
          <t>PubChem</t>
        </is>
      </c>
      <c r="C362" s="3" t="inlineStr">
        <is>
          <t>PubChem</t>
        </is>
      </c>
      <c r="D362" s="3" t="inlineStr">
        <is>
          <t>PubChemを入力してください</t>
        </is>
      </c>
      <c r="E362" s="3" t="inlineStr">
        <is>
          <t>Please enter PubChem</t>
        </is>
      </c>
      <c r="F362" s="3" t="inlineStr">
        <is>
          <t>NULL</t>
        </is>
      </c>
      <c r="G362" s="3" t="inlineStr">
        <is>
          <t>2022-07-11 04:36:42.734137+00</t>
        </is>
      </c>
    </row>
    <row r="363" ht="18.75" customHeight="1">
      <c r="A363" s="3" t="inlineStr">
        <is>
          <t>3a775d54-5c13-fe66-6405-29c05bc931ce</t>
        </is>
      </c>
      <c r="B363" s="3" t="inlineStr">
        <is>
          <t>粘度</t>
        </is>
      </c>
      <c r="C363" s="3" t="inlineStr">
        <is>
          <t>viscosity</t>
        </is>
      </c>
      <c r="D363" s="3" t="inlineStr">
        <is>
          <t>粘度を入力してください</t>
        </is>
      </c>
      <c r="E363" s="3" t="inlineStr">
        <is>
          <t>Please enter viscosity</t>
        </is>
      </c>
      <c r="F363" s="3" t="inlineStr">
        <is>
          <t>https://matvoc.nims.go.jp/wiki/Item:Q284</t>
        </is>
      </c>
      <c r="G363" s="3" t="inlineStr">
        <is>
          <t>2022-07-11 04:36:42.734137+00</t>
        </is>
      </c>
    </row>
    <row r="364" ht="18.75" customHeight="1">
      <c r="A364" s="3" t="inlineStr">
        <is>
          <t>659da80e-c2ee-2986-41ce-68201b3bc4dd</t>
        </is>
      </c>
      <c r="B364" s="3" t="inlineStr">
        <is>
          <t>沸点</t>
        </is>
      </c>
      <c r="C364" s="3" t="inlineStr">
        <is>
          <t>boiling point</t>
        </is>
      </c>
      <c r="D364" s="3" t="inlineStr">
        <is>
          <t>沸点を入力してください</t>
        </is>
      </c>
      <c r="E364" s="3" t="inlineStr">
        <is>
          <t>Please enter boiling point</t>
        </is>
      </c>
      <c r="F364" s="3" t="inlineStr">
        <is>
          <t>NULL</t>
        </is>
      </c>
      <c r="G364" s="3" t="inlineStr">
        <is>
          <t>2022-07-11 04:36:42.734137+00</t>
        </is>
      </c>
    </row>
    <row r="365" ht="18.75" customHeight="1">
      <c r="A365" s="3" t="inlineStr">
        <is>
          <t>4efc4c3b-727c-c752-cf28-701b55dba1af</t>
        </is>
      </c>
      <c r="B365" s="3" t="inlineStr">
        <is>
          <t>融点</t>
        </is>
      </c>
      <c r="C365" s="3" t="inlineStr">
        <is>
          <t>Melting temperature</t>
        </is>
      </c>
      <c r="D365" s="3" t="inlineStr">
        <is>
          <t>融点を入力してください</t>
        </is>
      </c>
      <c r="E365" s="3" t="inlineStr">
        <is>
          <t>Please enter Melting temperature</t>
        </is>
      </c>
      <c r="F365" s="3" t="inlineStr">
        <is>
          <t>https://matvoc.nims.go.jp/wiki/Item:Q297</t>
        </is>
      </c>
      <c r="G365" s="3" t="inlineStr">
        <is>
          <t>2022-07-11 04:36:42.734137+00</t>
        </is>
      </c>
    </row>
    <row r="366" ht="18.75" customHeight="1">
      <c r="A366" s="3" t="inlineStr">
        <is>
          <t>dc27a956-263e-f920-e574-5beec912a247</t>
        </is>
      </c>
      <c r="B366" s="3" t="inlineStr">
        <is>
          <t>分子量</t>
        </is>
      </c>
      <c r="C366" s="3" t="inlineStr">
        <is>
          <t>molecular weight</t>
        </is>
      </c>
      <c r="D366" s="3" t="inlineStr">
        <is>
          <t>分子量を入力してください</t>
        </is>
      </c>
      <c r="E366" s="3" t="inlineStr">
        <is>
          <t>Please enter molecular weight</t>
        </is>
      </c>
      <c r="F366" s="3" t="inlineStr">
        <is>
          <t>https://matvoc.nims.go.jp/entity/Q551</t>
        </is>
      </c>
      <c r="G366" s="3" t="inlineStr">
        <is>
          <t>2022-08-01 09:29:30.179916+00</t>
        </is>
      </c>
    </row>
    <row r="367" ht="18.75" customHeight="1">
      <c r="A367" s="3" t="inlineStr">
        <is>
          <t>efc6a0d5-313e-1871-190c-baaff7d1bf6c</t>
        </is>
      </c>
      <c r="B367" s="3" t="inlineStr">
        <is>
          <t>SMILES String</t>
        </is>
      </c>
      <c r="C367" s="3" t="inlineStr">
        <is>
          <t>SMILES String</t>
        </is>
      </c>
      <c r="D367" s="3" t="inlineStr">
        <is>
          <t>SMILES Stringを入力してください</t>
        </is>
      </c>
      <c r="E367" s="3" t="inlineStr">
        <is>
          <t>Please enter SMILES String</t>
        </is>
      </c>
      <c r="F367" s="3" t="inlineStr">
        <is>
          <t>NULL</t>
        </is>
      </c>
      <c r="G367" s="3" t="inlineStr">
        <is>
          <t>2022-08-01 09:32:47.462801+00</t>
        </is>
      </c>
    </row>
    <row r="368" ht="18.75" customHeight="1">
      <c r="A368" s="3" t="inlineStr">
        <is>
          <t>3edadcff-8a85-51d9-708f-8f76bf055377</t>
        </is>
      </c>
      <c r="B368" s="3" t="inlineStr">
        <is>
          <t>InChI key</t>
        </is>
      </c>
      <c r="C368" s="3" t="inlineStr">
        <is>
          <t>InChI key</t>
        </is>
      </c>
      <c r="D368" s="3" t="inlineStr">
        <is>
          <t>InChI keyを入力してください</t>
        </is>
      </c>
      <c r="E368" s="3" t="inlineStr">
        <is>
          <t>Please enter InChI key</t>
        </is>
      </c>
      <c r="F368" s="3" t="inlineStr">
        <is>
          <t>NULL</t>
        </is>
      </c>
      <c r="G368" s="3" t="inlineStr">
        <is>
          <t>2022-08-01 09:32:47.462801+00</t>
        </is>
      </c>
    </row>
    <row r="369" ht="18.75" customHeight="1">
      <c r="A369" s="3" t="inlineStr">
        <is>
          <t>0444cf53-db47-b208-7b5f-54429291a140</t>
        </is>
      </c>
      <c r="B369" s="3" t="inlineStr">
        <is>
          <t>試料分類</t>
        </is>
      </c>
      <c r="C369" s="3" t="inlineStr">
        <is>
          <t>Sample type</t>
        </is>
      </c>
      <c r="D369" s="3" t="inlineStr">
        <is>
          <t>試料分類を入力してください</t>
        </is>
      </c>
      <c r="E369" s="3" t="inlineStr">
        <is>
          <t>Please enter Sample type</t>
        </is>
      </c>
      <c r="F369" s="3" t="inlineStr">
        <is>
          <t>NULL</t>
        </is>
      </c>
      <c r="G369" s="3" t="inlineStr">
        <is>
          <t>2022-08-09 02:57:35.896387+00</t>
        </is>
      </c>
    </row>
    <row r="370" ht="18.75" customHeight="1">
      <c r="A370" s="3" t="inlineStr">
        <is>
          <t>fc30c31d-12a3-591a-c837-4f06ab458de0</t>
        </is>
      </c>
      <c r="B370" s="3" t="inlineStr">
        <is>
          <t>生物種</t>
        </is>
      </c>
      <c r="C370" s="3" t="inlineStr">
        <is>
          <t>Taxonomy</t>
        </is>
      </c>
      <c r="D370" s="3" t="inlineStr">
        <is>
          <t>生物種を入力してください</t>
        </is>
      </c>
      <c r="E370" s="3" t="inlineStr">
        <is>
          <t>Please enter Taxonomy</t>
        </is>
      </c>
      <c r="F370" s="3" t="inlineStr">
        <is>
          <t>NULL</t>
        </is>
      </c>
      <c r="G370" s="3" t="inlineStr">
        <is>
          <t>2022-08-09 02:57:35.896387+00</t>
        </is>
      </c>
    </row>
    <row r="371" ht="18.75" customHeight="1">
      <c r="A371" s="3" t="inlineStr">
        <is>
          <t>9a23002a-c398-e521-081a-24b6cd32dbbd</t>
        </is>
      </c>
      <c r="B371" s="3" t="inlineStr">
        <is>
          <t>細胞株</t>
        </is>
      </c>
      <c r="C371" s="3" t="inlineStr">
        <is>
          <t>Cell line</t>
        </is>
      </c>
      <c r="D371" s="3" t="inlineStr">
        <is>
          <t>細胞株を入力してください</t>
        </is>
      </c>
      <c r="E371" s="3" t="inlineStr">
        <is>
          <t>Please enter Cell line</t>
        </is>
      </c>
      <c r="F371" s="3" t="inlineStr">
        <is>
          <t>NULL</t>
        </is>
      </c>
      <c r="G371" s="3" t="inlineStr">
        <is>
          <t>2022-08-09 02:57:35.896387+00</t>
        </is>
      </c>
    </row>
    <row r="372" ht="18.75" customHeight="1">
      <c r="A372" s="3" t="inlineStr">
        <is>
          <t>b4ce4016-e2bf-e5a1-7cae-ed496c7a776f</t>
        </is>
      </c>
      <c r="B372" s="3" t="inlineStr">
        <is>
          <t>タンパク名</t>
        </is>
      </c>
      <c r="C372" s="3" t="inlineStr">
        <is>
          <t>Protein name</t>
        </is>
      </c>
      <c r="D372" s="3" t="inlineStr">
        <is>
          <t>タンパク名を入力してください</t>
        </is>
      </c>
      <c r="E372" s="3" t="inlineStr">
        <is>
          <t>Please enter Protein name</t>
        </is>
      </c>
      <c r="F372" s="3" t="inlineStr">
        <is>
          <t>NULL</t>
        </is>
      </c>
      <c r="G372" s="3" t="inlineStr">
        <is>
          <t>2022-08-09 02:57:35.896387+00</t>
        </is>
      </c>
    </row>
    <row r="373" ht="18.75" customHeight="1">
      <c r="A373" s="3" t="inlineStr">
        <is>
          <t>8c9b1a88-1530-24d3-4b2e-5441eee5c24f</t>
        </is>
      </c>
      <c r="B373" s="3" t="inlineStr">
        <is>
          <t>遺伝子名</t>
        </is>
      </c>
      <c r="C373" s="3" t="inlineStr">
        <is>
          <t>Gene name</t>
        </is>
      </c>
      <c r="D373" s="3" t="inlineStr">
        <is>
          <t>遺伝子名を入力してください</t>
        </is>
      </c>
      <c r="E373" s="3" t="inlineStr">
        <is>
          <t>Please enter Gene name</t>
        </is>
      </c>
      <c r="F373" s="3" t="inlineStr">
        <is>
          <t>NULL</t>
        </is>
      </c>
      <c r="G373" s="3" t="inlineStr">
        <is>
          <t>2022-08-09 02:57:35.896387+00</t>
        </is>
      </c>
    </row>
    <row r="374" ht="18.75" customHeight="1">
      <c r="A374" s="3" t="inlineStr">
        <is>
          <t>047e30f3-f294-e58d-cbe4-6bb588bf4cf8</t>
        </is>
      </c>
      <c r="B374" s="3" t="inlineStr">
        <is>
          <t>NCBIアクセッション番号</t>
        </is>
      </c>
      <c r="C374" s="3" t="inlineStr">
        <is>
          <t>NCBI accession number</t>
        </is>
      </c>
      <c r="D374" s="3" t="inlineStr">
        <is>
          <t>NCBIアクセッション番号を入力してください</t>
        </is>
      </c>
      <c r="E374" s="3" t="inlineStr">
        <is>
          <t>Please enter NCBI accession number</t>
        </is>
      </c>
      <c r="F374" s="3" t="inlineStr">
        <is>
          <t>NULL</t>
        </is>
      </c>
      <c r="G374" s="3" t="inlineStr">
        <is>
          <t>2022-08-09 02:57:35.896387+00</t>
        </is>
      </c>
    </row>
    <row r="375" ht="18.75" customHeight="1">
      <c r="A375" s="3" t="inlineStr">
        <is>
          <t>3adf9874-7bcb-e5f8-99cb-3d6fd9d7b55e</t>
        </is>
      </c>
      <c r="B375" s="3" t="inlineStr">
        <is>
          <t>一般名称</t>
        </is>
      </c>
      <c r="C375" s="3" t="inlineStr">
        <is>
          <t>General name</t>
        </is>
      </c>
      <c r="D375" s="3" t="inlineStr">
        <is>
          <t>一般名称を入力してください</t>
        </is>
      </c>
      <c r="E375" s="3" t="inlineStr">
        <is>
          <t>Please enter General name</t>
        </is>
      </c>
      <c r="F375" s="3" t="inlineStr">
        <is>
          <t>NULL</t>
        </is>
      </c>
      <c r="G375" s="3" t="inlineStr">
        <is>
          <t>2022-08-24 01:04:54.879136+00</t>
        </is>
      </c>
    </row>
    <row r="376" ht="18.75" customHeight="1">
      <c r="A376" s="3" t="inlineStr">
        <is>
          <t>9270879d-d94e-4d3f-2d5c-19568e040004</t>
        </is>
      </c>
      <c r="B376" s="3" t="inlineStr">
        <is>
          <t>InChI</t>
        </is>
      </c>
      <c r="C376" s="3" t="inlineStr">
        <is>
          <t>InChI</t>
        </is>
      </c>
      <c r="D376" s="3" t="inlineStr">
        <is>
          <t>InChIを入力してください</t>
        </is>
      </c>
      <c r="E376" s="3" t="inlineStr">
        <is>
          <t>Please enter InChI</t>
        </is>
      </c>
      <c r="F376" s="3" t="inlineStr">
        <is>
          <t>NULL</t>
        </is>
      </c>
      <c r="G376" s="3" t="inlineStr">
        <is>
          <t>2022-08-01 09:32:47.462801+00</t>
        </is>
      </c>
    </row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  <row r="951" ht="18.75" customHeight="1"/>
    <row r="952" ht="18.75" customHeight="1"/>
    <row r="953" ht="18.75" customHeight="1"/>
    <row r="954" ht="18.75" customHeight="1"/>
    <row r="955" ht="18.75" customHeight="1"/>
    <row r="956" ht="18.75" customHeight="1"/>
    <row r="957" ht="18.75" customHeight="1"/>
    <row r="958" ht="18.75" customHeight="1"/>
    <row r="959" ht="18.75" customHeight="1"/>
    <row r="960" ht="18.75" customHeight="1"/>
    <row r="961" ht="18.75" customHeight="1"/>
    <row r="962" ht="18.75" customHeight="1"/>
    <row r="963" ht="18.75" customHeight="1"/>
    <row r="964" ht="18.75" customHeight="1"/>
    <row r="965" ht="18.75" customHeight="1"/>
    <row r="966" ht="18.75" customHeight="1"/>
    <row r="967" ht="18.75" customHeight="1"/>
    <row r="968" ht="18.75" customHeight="1"/>
    <row r="969" ht="18.75" customHeight="1"/>
    <row r="970" ht="18.75" customHeight="1"/>
    <row r="971" ht="18.75" customHeight="1"/>
    <row r="972" ht="18.75" customHeight="1"/>
    <row r="973" ht="18.75" customHeight="1"/>
    <row r="974" ht="18.75" customHeight="1"/>
    <row r="975" ht="18.75" customHeight="1"/>
    <row r="976" ht="18.75" customHeight="1"/>
    <row r="977" ht="18.75" customHeight="1"/>
    <row r="978" ht="18.75" customHeight="1"/>
    <row r="979" ht="18.75" customHeight="1"/>
    <row r="980" ht="18.75" customHeight="1"/>
    <row r="981" ht="18.75" customHeight="1"/>
    <row r="982" ht="18.75" customHeight="1"/>
    <row r="983" ht="18.75" customHeight="1"/>
    <row r="984" ht="18.75" customHeight="1"/>
    <row r="985" ht="18.75" customHeight="1"/>
    <row r="986" ht="18.75" customHeight="1"/>
    <row r="987" ht="18.75" customHeight="1"/>
    <row r="988" ht="18.75" customHeight="1"/>
    <row r="989" ht="18.75" customHeight="1"/>
    <row r="990" ht="18.75" customHeight="1"/>
    <row r="991" ht="18.75" customHeight="1"/>
    <row r="992" ht="18.75" customHeight="1"/>
    <row r="993" ht="18.75" customHeight="1"/>
    <row r="994" ht="18.75" customHeight="1"/>
    <row r="995" ht="18.75" customHeight="1"/>
    <row r="996" ht="18.75" customHeight="1"/>
    <row r="997" ht="18.75" customHeight="1"/>
    <row r="998" ht="18.75" customHeight="1"/>
    <row r="999" ht="18.75" customHeight="1"/>
    <row r="1000" ht="18.75" customHeight="1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5"/>
  <sheetViews>
    <sheetView tabSelected="0" workbookViewId="0">
      <selection activeCell="A1" sqref="A1"/>
    </sheetView>
  </sheetViews>
  <sheetFormatPr baseColWidth="8" defaultRowHeight="15"/>
  <cols>
    <col width="40" customWidth="1" min="1" max="1"/>
    <col width="50" customWidth="1" min="2" max="2"/>
    <col width="25" customWidth="1" min="3" max="3"/>
    <col width="40" customWidth="1" min="4" max="4"/>
    <col width="45" customWidth="1" min="5" max="5"/>
    <col width="45" customWidth="1" min="6" max="6"/>
    <col width="50" customWidth="1" min="7" max="7"/>
    <col width="40" customWidth="1" min="8" max="8"/>
  </cols>
  <sheetData>
    <row r="1" ht="18.75" customHeight="1">
      <c r="A1" s="3" t="inlineStr">
        <is>
          <t>term_id</t>
        </is>
      </c>
      <c r="B1" s="3" t="inlineStr">
        <is>
          <t>key_name</t>
        </is>
      </c>
      <c r="C1" s="3" t="inlineStr">
        <is>
          <t>dict.term.name_ja</t>
        </is>
      </c>
      <c r="D1" s="3" t="inlineStr">
        <is>
          <t>dict.term.name_en</t>
        </is>
      </c>
      <c r="E1" s="3" t="inlineStr">
        <is>
          <t>dict.term.hint_ja</t>
        </is>
      </c>
      <c r="F1" s="3" t="inlineStr">
        <is>
          <t>dict.term.hint_en</t>
        </is>
      </c>
      <c r="G1" s="3" t="inlineStr">
        <is>
          <t>dict.term.term_uri</t>
        </is>
      </c>
      <c r="H1" s="3" t="inlineStr">
        <is>
          <t>dict.term.created</t>
        </is>
      </c>
    </row>
    <row r="2" ht="18.75" customHeight="1">
      <c r="A2" s="3" t="inlineStr">
        <is>
          <t>33c6e9dc-5787-0f96-7683-f39281c60419</t>
        </is>
      </c>
      <c r="B2" s="3" t="inlineStr">
        <is>
          <t>sample.general.composiiton</t>
        </is>
      </c>
      <c r="C2" s="24">
        <f>VLOOKUP(A2,dict.term!A:G,2,FALSE)&amp;""</f>
        <v/>
      </c>
      <c r="D2" s="24">
        <f>VLOOKUP(A2,dict.term!A:G,3,FALSE)&amp;""</f>
        <v/>
      </c>
      <c r="E2" s="24">
        <f>VLOOKUP(A2,dict.term!A:G,4,FALSE)&amp;""</f>
        <v/>
      </c>
      <c r="F2" s="24">
        <f>VLOOKUP(A2,dict.term!A:G,5,FALSE)&amp;""</f>
        <v/>
      </c>
      <c r="G2" s="24">
        <f>VLOOKUP(A2,dict.term!A:G,6,FALSE)&amp;""</f>
        <v/>
      </c>
      <c r="H2" s="24">
        <f>VLOOKUP(A2,dict.term!A:G,7,FALSE)&amp;""</f>
        <v/>
      </c>
    </row>
    <row r="3" ht="18.75" customHeight="1">
      <c r="A3" s="3" t="inlineStr">
        <is>
          <t>f2d5e89e-01f0-66a2-5d8e-623a4fc31698</t>
        </is>
      </c>
      <c r="B3" s="3" t="inlineStr">
        <is>
          <t>sample.general.material-name</t>
        </is>
      </c>
      <c r="C3" s="24">
        <f>VLOOKUP(A3,dict.term!A:G,2,FALSE)&amp;""</f>
        <v/>
      </c>
      <c r="D3" s="24">
        <f>VLOOKUP(A3,dict.term!A:G,3,FALSE)&amp;""</f>
        <v/>
      </c>
      <c r="E3" s="24">
        <f>VLOOKUP(A3,dict.term!A:G,4,FALSE)&amp;""</f>
        <v/>
      </c>
      <c r="F3" s="24">
        <f>VLOOKUP(A3,dict.term!A:G,5,FALSE)&amp;""</f>
        <v/>
      </c>
      <c r="G3" s="24">
        <f>VLOOKUP(A3,dict.term!A:G,6,FALSE)&amp;""</f>
        <v/>
      </c>
      <c r="H3" s="24">
        <f>VLOOKUP(A3,dict.term!A:G,7,FALSE)&amp;""</f>
        <v/>
      </c>
    </row>
    <row r="4" ht="18.75" customHeight="1">
      <c r="A4" s="3" t="inlineStr">
        <is>
          <t>a7a6fc7b-ed46-88b0-bba8-a1e34857a049</t>
        </is>
      </c>
      <c r="B4" s="3" t="inlineStr">
        <is>
          <t>sample.general.sample-alias</t>
        </is>
      </c>
      <c r="C4" s="24">
        <f>VLOOKUP(A4,dict.term!A:G,2,FALSE)&amp;""</f>
        <v/>
      </c>
      <c r="D4" s="24">
        <f>VLOOKUP(A4,dict.term!A:G,3,FALSE)&amp;""</f>
        <v/>
      </c>
      <c r="E4" s="24">
        <f>VLOOKUP(A4,dict.term!A:G,4,FALSE)&amp;""</f>
        <v/>
      </c>
      <c r="F4" s="24">
        <f>VLOOKUP(A4,dict.term!A:G,5,FALSE)&amp;""</f>
        <v/>
      </c>
      <c r="G4" s="24">
        <f>VLOOKUP(A4,dict.term!A:G,6,FALSE)&amp;""</f>
        <v/>
      </c>
      <c r="H4" s="24">
        <f>VLOOKUP(A4,dict.term!A:G,7,FALSE)&amp;""</f>
        <v/>
      </c>
    </row>
    <row r="5" ht="18.75" customHeight="1">
      <c r="A5" s="3" t="inlineStr">
        <is>
          <t>e2d20d02-2e38-2cd3-b1b3-66fdb8a11057</t>
        </is>
      </c>
      <c r="B5" s="3" t="inlineStr">
        <is>
          <t>sample.general.cas-number</t>
        </is>
      </c>
      <c r="C5" s="24">
        <f>VLOOKUP(A5,dict.term!A:G,2,FALSE)&amp;""</f>
        <v/>
      </c>
      <c r="D5" s="24">
        <f>VLOOKUP(A5,dict.term!A:G,3,FALSE)&amp;""</f>
        <v/>
      </c>
      <c r="E5" s="24">
        <f>VLOOKUP(A5,dict.term!A:G,4,FALSE)&amp;""</f>
        <v/>
      </c>
      <c r="F5" s="24">
        <f>VLOOKUP(A5,dict.term!A:G,5,FALSE)&amp;""</f>
        <v/>
      </c>
      <c r="G5" s="24">
        <f>VLOOKUP(A5,dict.term!A:G,6,FALSE)&amp;""</f>
        <v/>
      </c>
      <c r="H5" s="24">
        <f>VLOOKUP(A5,dict.term!A:G,7,FALSE)&amp;""</f>
        <v/>
      </c>
    </row>
    <row r="6" ht="18.75" customHeight="1">
      <c r="A6" s="3" t="inlineStr">
        <is>
          <t>1e70d11d-cbdd-bfd1-9301-9612c29b4060</t>
        </is>
      </c>
      <c r="B6" s="3" t="inlineStr">
        <is>
          <t>sample.general.purchase-date</t>
        </is>
      </c>
      <c r="C6" s="24">
        <f>VLOOKUP(A6,dict.term!A:G,2,FALSE)&amp;""</f>
        <v/>
      </c>
      <c r="D6" s="24">
        <f>VLOOKUP(A6,dict.term!A:G,3,FALSE)&amp;""</f>
        <v/>
      </c>
      <c r="E6" s="24">
        <f>VLOOKUP(A6,dict.term!A:G,4,FALSE)&amp;""</f>
        <v/>
      </c>
      <c r="F6" s="24">
        <f>VLOOKUP(A6,dict.term!A:G,5,FALSE)&amp;""</f>
        <v/>
      </c>
      <c r="G6" s="24">
        <f>VLOOKUP(A6,dict.term!A:G,6,FALSE)&amp;""</f>
        <v/>
      </c>
      <c r="H6" s="24">
        <f>VLOOKUP(A6,dict.term!A:G,7,FALSE)&amp;""</f>
        <v/>
      </c>
    </row>
    <row r="7" ht="18.75" customHeight="1">
      <c r="A7" s="3" t="inlineStr">
        <is>
          <t>1d3cab05-3eaa-cb9b-9a3f-20eb0ca26963</t>
        </is>
      </c>
      <c r="B7" s="3" t="inlineStr">
        <is>
          <t>sample.general.crystalline-state</t>
        </is>
      </c>
      <c r="C7" s="24">
        <f>VLOOKUP(A7,dict.term!A:G,2,FALSE)&amp;""</f>
        <v/>
      </c>
      <c r="D7" s="24">
        <f>VLOOKUP(A7,dict.term!A:G,3,FALSE)&amp;""</f>
        <v/>
      </c>
      <c r="E7" s="24">
        <f>VLOOKUP(A7,dict.term!A:G,4,FALSE)&amp;""</f>
        <v/>
      </c>
      <c r="F7" s="24">
        <f>VLOOKUP(A7,dict.term!A:G,5,FALSE)&amp;""</f>
        <v/>
      </c>
      <c r="G7" s="24">
        <f>VLOOKUP(A7,dict.term!A:G,6,FALSE)&amp;""</f>
        <v/>
      </c>
      <c r="H7" s="24">
        <f>VLOOKUP(A7,dict.term!A:G,7,FALSE)&amp;""</f>
        <v/>
      </c>
    </row>
    <row r="8" ht="18.75" customHeight="1">
      <c r="A8" s="3" t="inlineStr">
        <is>
          <t>efcf34e7-4308-c195-6691-6f4d28ffc9bb</t>
        </is>
      </c>
      <c r="B8" s="3" t="inlineStr">
        <is>
          <t>sample.general.crystal-structure</t>
        </is>
      </c>
      <c r="C8" s="24">
        <f>VLOOKUP(A8,dict.term!A:G,2,FALSE)&amp;""</f>
        <v/>
      </c>
      <c r="D8" s="24">
        <f>VLOOKUP(A8,dict.term!A:G,3,FALSE)&amp;""</f>
        <v/>
      </c>
      <c r="E8" s="24">
        <f>VLOOKUP(A8,dict.term!A:G,4,FALSE)&amp;""</f>
        <v/>
      </c>
      <c r="F8" s="24">
        <f>VLOOKUP(A8,dict.term!A:G,5,FALSE)&amp;""</f>
        <v/>
      </c>
      <c r="G8" s="24">
        <f>VLOOKUP(A8,dict.term!A:G,6,FALSE)&amp;""</f>
        <v/>
      </c>
      <c r="H8" s="24">
        <f>VLOOKUP(A8,dict.term!A:G,7,FALSE)&amp;""</f>
        <v/>
      </c>
    </row>
    <row r="9" ht="18.75" customHeight="1">
      <c r="A9" s="3" t="inlineStr">
        <is>
          <t>e9617207-7f74-ef45-9b05-74eef6e4ecbb</t>
        </is>
      </c>
      <c r="B9" s="3" t="inlineStr">
        <is>
          <t>sample.general.pearson-symbol</t>
        </is>
      </c>
      <c r="C9" s="24">
        <f>VLOOKUP(A9,dict.term!A:G,2,FALSE)&amp;""</f>
        <v/>
      </c>
      <c r="D9" s="24">
        <f>VLOOKUP(A9,dict.term!A:G,3,FALSE)&amp;""</f>
        <v/>
      </c>
      <c r="E9" s="24">
        <f>VLOOKUP(A9,dict.term!A:G,4,FALSE)&amp;""</f>
        <v/>
      </c>
      <c r="F9" s="24">
        <f>VLOOKUP(A9,dict.term!A:G,5,FALSE)&amp;""</f>
        <v/>
      </c>
      <c r="G9" s="24">
        <f>VLOOKUP(A9,dict.term!A:G,6,FALSE)&amp;""</f>
        <v/>
      </c>
      <c r="H9" s="24">
        <f>VLOOKUP(A9,dict.term!A:G,7,FALSE)&amp;""</f>
        <v/>
      </c>
    </row>
    <row r="10" ht="18.75" customHeight="1">
      <c r="A10" s="3" t="inlineStr">
        <is>
          <t>f63149a4-e57c-4273-4c1e-dffa41356d28</t>
        </is>
      </c>
      <c r="B10" s="3" t="inlineStr">
        <is>
          <t>sample.general.space-group</t>
        </is>
      </c>
      <c r="C10" s="24">
        <f>VLOOKUP(A10,dict.term!A:G,2,FALSE)&amp;""</f>
        <v/>
      </c>
      <c r="D10" s="24">
        <f>VLOOKUP(A10,dict.term!A:G,3,FALSE)&amp;""</f>
        <v/>
      </c>
      <c r="E10" s="24">
        <f>VLOOKUP(A10,dict.term!A:G,4,FALSE)&amp;""</f>
        <v/>
      </c>
      <c r="F10" s="24">
        <f>VLOOKUP(A10,dict.term!A:G,5,FALSE)&amp;""</f>
        <v/>
      </c>
      <c r="G10" s="24">
        <f>VLOOKUP(A10,dict.term!A:G,6,FALSE)&amp;""</f>
        <v/>
      </c>
      <c r="H10" s="24">
        <f>VLOOKUP(A10,dict.term!A:G,7,FALSE)&amp;""</f>
        <v/>
      </c>
    </row>
    <row r="11" ht="18.75" customHeight="1">
      <c r="A11" s="3" t="inlineStr">
        <is>
          <t>7cc57dfb-8b70-4b3a-5315-fbce4cbf73d0</t>
        </is>
      </c>
      <c r="B11" s="3" t="inlineStr">
        <is>
          <t>sample.general.sample-shape</t>
        </is>
      </c>
      <c r="C11" s="24">
        <f>VLOOKUP(A11,dict.term!A:G,2,FALSE)&amp;""</f>
        <v/>
      </c>
      <c r="D11" s="24">
        <f>VLOOKUP(A11,dict.term!A:G,3,FALSE)&amp;""</f>
        <v/>
      </c>
      <c r="E11" s="24">
        <f>VLOOKUP(A11,dict.term!A:G,4,FALSE)&amp;""</f>
        <v/>
      </c>
      <c r="F11" s="24">
        <f>VLOOKUP(A11,dict.term!A:G,5,FALSE)&amp;""</f>
        <v/>
      </c>
      <c r="G11" s="24">
        <f>VLOOKUP(A11,dict.term!A:G,6,FALSE)&amp;""</f>
        <v/>
      </c>
      <c r="H11" s="24">
        <f>VLOOKUP(A11,dict.term!A:G,7,FALSE)&amp;""</f>
        <v/>
      </c>
    </row>
    <row r="12" ht="18.75" customHeight="1">
      <c r="A12" s="3" t="inlineStr">
        <is>
          <t>efc6a0d5-313e-1871-190c-baaff7d1bf6c</t>
        </is>
      </c>
      <c r="B12" s="3" t="inlineStr">
        <is>
          <t>sample.general.smiles-string</t>
        </is>
      </c>
      <c r="C12" s="24">
        <f>VLOOKUP(A12,dict.term!A:G,2,FALSE)&amp;""</f>
        <v/>
      </c>
      <c r="D12" s="24">
        <f>VLOOKUP(A12,dict.term!A:G,3,FALSE)&amp;""</f>
        <v/>
      </c>
      <c r="E12" s="24">
        <f>VLOOKUP(A12,dict.term!A:G,4,FALSE)&amp;""</f>
        <v/>
      </c>
      <c r="F12" s="24">
        <f>VLOOKUP(A12,dict.term!A:G,5,FALSE)&amp;""</f>
        <v/>
      </c>
      <c r="G12" s="24">
        <f>VLOOKUP(A12,dict.term!A:G,6,FALSE)&amp;""</f>
        <v/>
      </c>
      <c r="H12" s="24">
        <f>VLOOKUP(A12,dict.term!A:G,7,FALSE)&amp;""</f>
        <v/>
      </c>
    </row>
    <row r="13" ht="18.75" customHeight="1">
      <c r="A13" s="3" t="inlineStr">
        <is>
          <t>9270879d-d94e-4d3f-2d5c-19568e040004</t>
        </is>
      </c>
      <c r="B13" s="3" t="inlineStr">
        <is>
          <t>sample.general.inchi</t>
        </is>
      </c>
      <c r="C13" s="24">
        <f>VLOOKUP(A13,dict.term!A:G,2,FALSE)&amp;""</f>
        <v/>
      </c>
      <c r="D13" s="24">
        <f>VLOOKUP(A13,dict.term!A:G,3,FALSE)&amp;""</f>
        <v/>
      </c>
      <c r="E13" s="24">
        <f>VLOOKUP(A13,dict.term!A:G,4,FALSE)&amp;""</f>
        <v/>
      </c>
      <c r="F13" s="24">
        <f>VLOOKUP(A13,dict.term!A:G,5,FALSE)&amp;""</f>
        <v/>
      </c>
      <c r="G13" s="24">
        <f>VLOOKUP(A13,dict.term!A:G,6,FALSE)&amp;""</f>
        <v/>
      </c>
      <c r="H13" s="24">
        <f>VLOOKUP(A13,dict.term!A:G,7,FALSE)&amp;""</f>
        <v/>
      </c>
    </row>
    <row r="14" ht="18.75" customHeight="1">
      <c r="A14" s="3" t="inlineStr">
        <is>
          <t>3edadcff-8a85-51d9-708f-8f76bf055377</t>
        </is>
      </c>
      <c r="B14" s="3" t="inlineStr">
        <is>
          <t>sample.general.inchi-key</t>
        </is>
      </c>
      <c r="C14" s="24">
        <f>VLOOKUP(A14,dict.term!A:G,2,FALSE)&amp;""</f>
        <v/>
      </c>
      <c r="D14" s="24">
        <f>VLOOKUP(A14,dict.term!A:G,3,FALSE)&amp;""</f>
        <v/>
      </c>
      <c r="E14" s="24">
        <f>VLOOKUP(A14,dict.term!A:G,4,FALSE)&amp;""</f>
        <v/>
      </c>
      <c r="F14" s="24">
        <f>VLOOKUP(A14,dict.term!A:G,5,FALSE)&amp;""</f>
        <v/>
      </c>
      <c r="G14" s="24">
        <f>VLOOKUP(A14,dict.term!A:G,6,FALSE)&amp;""</f>
        <v/>
      </c>
      <c r="H14" s="24">
        <f>VLOOKUP(A14,dict.term!A:G,7,FALSE)&amp;""</f>
        <v/>
      </c>
    </row>
    <row r="15" ht="18.75" customHeight="1">
      <c r="A15" s="3" t="inlineStr">
        <is>
          <t>dc27a956-263e-f920-e574-5beec912a247</t>
        </is>
      </c>
      <c r="B15" s="3" t="inlineStr">
        <is>
          <t>sample.general.molecular-weight</t>
        </is>
      </c>
      <c r="C15" s="24">
        <f>VLOOKUP(A15,dict.term!A:G,2,FALSE)&amp;""</f>
        <v/>
      </c>
      <c r="D15" s="24">
        <f>VLOOKUP(A15,dict.term!A:G,3,FALSE)&amp;""</f>
        <v/>
      </c>
      <c r="E15" s="24">
        <f>VLOOKUP(A15,dict.term!A:G,4,FALSE)&amp;""</f>
        <v/>
      </c>
      <c r="F15" s="24">
        <f>VLOOKUP(A15,dict.term!A:G,5,FALSE)&amp;""</f>
        <v/>
      </c>
      <c r="G15" s="24">
        <f>VLOOKUP(A15,dict.term!A:G,6,FALSE)&amp;""</f>
        <v/>
      </c>
      <c r="H15" s="24">
        <f>VLOOKUP(A15,dict.term!A:G,7,FALSE)&amp;""</f>
        <v/>
      </c>
    </row>
    <row r="16" ht="18.75" customHeight="1">
      <c r="A16" s="3" t="inlineStr">
        <is>
          <t>0444cf53-db47-b208-7b5f-54429291a140</t>
        </is>
      </c>
      <c r="B16" s="3" t="inlineStr">
        <is>
          <t>sample.general.sample-type</t>
        </is>
      </c>
      <c r="C16" s="24">
        <f>VLOOKUP(A16,dict.term!A:G,2,FALSE)&amp;""</f>
        <v/>
      </c>
      <c r="D16" s="24">
        <f>VLOOKUP(A16,dict.term!A:G,3,FALSE)&amp;""</f>
        <v/>
      </c>
      <c r="E16" s="24">
        <f>VLOOKUP(A16,dict.term!A:G,4,FALSE)&amp;""</f>
        <v/>
      </c>
      <c r="F16" s="24">
        <f>VLOOKUP(A16,dict.term!A:G,5,FALSE)&amp;""</f>
        <v/>
      </c>
      <c r="G16" s="24">
        <f>VLOOKUP(A16,dict.term!A:G,6,FALSE)&amp;""</f>
        <v/>
      </c>
      <c r="H16" s="24">
        <f>VLOOKUP(A16,dict.term!A:G,7,FALSE)&amp;""</f>
        <v/>
      </c>
    </row>
    <row r="17" ht="18.75" customHeight="1">
      <c r="A17" s="3" t="inlineStr">
        <is>
          <t>fc30c31d-12a3-591a-c837-4f06ab458de0</t>
        </is>
      </c>
      <c r="B17" s="3" t="inlineStr">
        <is>
          <t>sample.general.taxonomy</t>
        </is>
      </c>
      <c r="C17" s="24">
        <f>VLOOKUP(A17,dict.term!A:G,2,FALSE)&amp;""</f>
        <v/>
      </c>
      <c r="D17" s="24">
        <f>VLOOKUP(A17,dict.term!A:G,3,FALSE)&amp;""</f>
        <v/>
      </c>
      <c r="E17" s="24">
        <f>VLOOKUP(A17,dict.term!A:G,4,FALSE)&amp;""</f>
        <v/>
      </c>
      <c r="F17" s="24">
        <f>VLOOKUP(A17,dict.term!A:G,5,FALSE)&amp;""</f>
        <v/>
      </c>
      <c r="G17" s="24">
        <f>VLOOKUP(A17,dict.term!A:G,6,FALSE)&amp;""</f>
        <v/>
      </c>
      <c r="H17" s="24">
        <f>VLOOKUP(A17,dict.term!A:G,7,FALSE)&amp;""</f>
        <v/>
      </c>
    </row>
    <row r="18" ht="18.75" customHeight="1">
      <c r="A18" s="3" t="inlineStr">
        <is>
          <t>9a23002a-c398-e521-081a-24b6cd32dbbd</t>
        </is>
      </c>
      <c r="B18" s="3" t="inlineStr">
        <is>
          <t>sample.general.cell-line</t>
        </is>
      </c>
      <c r="C18" s="24">
        <f>VLOOKUP(A18,dict.term!A:G,2,FALSE)&amp;""</f>
        <v/>
      </c>
      <c r="D18" s="24">
        <f>VLOOKUP(A18,dict.term!A:G,3,FALSE)&amp;""</f>
        <v/>
      </c>
      <c r="E18" s="24">
        <f>VLOOKUP(A18,dict.term!A:G,4,FALSE)&amp;""</f>
        <v/>
      </c>
      <c r="F18" s="24">
        <f>VLOOKUP(A18,dict.term!A:G,5,FALSE)&amp;""</f>
        <v/>
      </c>
      <c r="G18" s="24">
        <f>VLOOKUP(A18,dict.term!A:G,6,FALSE)&amp;""</f>
        <v/>
      </c>
      <c r="H18" s="24">
        <f>VLOOKUP(A18,dict.term!A:G,7,FALSE)&amp;""</f>
        <v/>
      </c>
    </row>
    <row r="19" ht="18.75" customHeight="1">
      <c r="A19" s="3" t="inlineStr">
        <is>
          <t>b4ce4016-e2bf-e5a1-7cae-ed496c7a776f</t>
        </is>
      </c>
      <c r="B19" s="3" t="inlineStr">
        <is>
          <t>sample.general.protein-name</t>
        </is>
      </c>
      <c r="C19" s="24">
        <f>VLOOKUP(A19,dict.term!A:G,2,FALSE)&amp;""</f>
        <v/>
      </c>
      <c r="D19" s="24">
        <f>VLOOKUP(A19,dict.term!A:G,3,FALSE)&amp;""</f>
        <v/>
      </c>
      <c r="E19" s="24">
        <f>VLOOKUP(A19,dict.term!A:G,4,FALSE)&amp;""</f>
        <v/>
      </c>
      <c r="F19" s="24">
        <f>VLOOKUP(A19,dict.term!A:G,5,FALSE)&amp;""</f>
        <v/>
      </c>
      <c r="G19" s="24">
        <f>VLOOKUP(A19,dict.term!A:G,6,FALSE)&amp;""</f>
        <v/>
      </c>
      <c r="H19" s="24">
        <f>VLOOKUP(A19,dict.term!A:G,7,FALSE)&amp;""</f>
        <v/>
      </c>
    </row>
    <row r="20" ht="18.75" customHeight="1">
      <c r="A20" s="3" t="inlineStr">
        <is>
          <t>8c9b1a88-1530-24d3-4b2e-5441eee5c24f</t>
        </is>
      </c>
      <c r="B20" s="3" t="inlineStr">
        <is>
          <t>sample.general.gene-name</t>
        </is>
      </c>
      <c r="C20" s="24">
        <f>VLOOKUP(A20,dict.term!A:G,2,FALSE)&amp;""</f>
        <v/>
      </c>
      <c r="D20" s="24">
        <f>VLOOKUP(A20,dict.term!A:G,3,FALSE)&amp;""</f>
        <v/>
      </c>
      <c r="E20" s="24">
        <f>VLOOKUP(A20,dict.term!A:G,4,FALSE)&amp;""</f>
        <v/>
      </c>
      <c r="F20" s="24">
        <f>VLOOKUP(A20,dict.term!A:G,5,FALSE)&amp;""</f>
        <v/>
      </c>
      <c r="G20" s="24">
        <f>VLOOKUP(A20,dict.term!A:G,6,FALSE)&amp;""</f>
        <v/>
      </c>
      <c r="H20" s="24">
        <f>VLOOKUP(A20,dict.term!A:G,7,FALSE)&amp;""</f>
        <v/>
      </c>
    </row>
    <row r="21" ht="18.75" customHeight="1">
      <c r="A21" s="3" t="inlineStr">
        <is>
          <t>047e30f3-f294-e58d-cbe4-6bb588bf4cf8</t>
        </is>
      </c>
      <c r="B21" s="3" t="inlineStr">
        <is>
          <t>sample.general.ncbi-accession-number</t>
        </is>
      </c>
      <c r="C21" s="24">
        <f>VLOOKUP(A21,dict.term!A:G,2,FALSE)&amp;""</f>
        <v/>
      </c>
      <c r="D21" s="24">
        <f>VLOOKUP(A21,dict.term!A:G,3,FALSE)&amp;""</f>
        <v/>
      </c>
      <c r="E21" s="24">
        <f>VLOOKUP(A21,dict.term!A:G,4,FALSE)&amp;""</f>
        <v/>
      </c>
      <c r="F21" s="24">
        <f>VLOOKUP(A21,dict.term!A:G,5,FALSE)&amp;""</f>
        <v/>
      </c>
      <c r="G21" s="24">
        <f>VLOOKUP(A21,dict.term!A:G,6,FALSE)&amp;""</f>
        <v/>
      </c>
      <c r="H21" s="24">
        <f>VLOOKUP(A21,dict.term!A:G,7,FALSE)&amp;""</f>
        <v/>
      </c>
    </row>
    <row r="22" ht="18.75" customHeight="1">
      <c r="A22" s="3" t="inlineStr">
        <is>
          <t>3adf9874-7bcb-e5f8-99cb-3d6fd9d7b55e</t>
        </is>
      </c>
      <c r="B22" s="3" t="inlineStr">
        <is>
          <t>sample.general.general-name</t>
        </is>
      </c>
      <c r="C22" s="24">
        <f>VLOOKUP(A22,dict.term!A:G,2,FALSE)&amp;""</f>
        <v/>
      </c>
      <c r="D22" s="24">
        <f>VLOOKUP(A22,dict.term!A:G,3,FALSE)&amp;""</f>
        <v/>
      </c>
      <c r="E22" s="24">
        <f>VLOOKUP(A22,dict.term!A:G,4,FALSE)&amp;""</f>
        <v/>
      </c>
      <c r="F22" s="24">
        <f>VLOOKUP(A22,dict.term!A:G,5,FALSE)&amp;""</f>
        <v/>
      </c>
      <c r="G22" s="24">
        <f>VLOOKUP(A22,dict.term!A:G,6,FALSE)&amp;""</f>
        <v/>
      </c>
      <c r="H22" s="24">
        <f>VLOOKUP(A22,dict.term!A:G,7,FALSE)&amp;""</f>
        <v/>
      </c>
    </row>
    <row r="23" ht="18.75" customHeight="1">
      <c r="A23" s="3" t="inlineStr">
        <is>
          <t>0aadfff2-37de-411f-883a-38b62b2abbce</t>
        </is>
      </c>
      <c r="B23" s="3" t="inlineStr">
        <is>
          <t>sample.general.chemical-composition</t>
        </is>
      </c>
      <c r="C23" s="24">
        <f>VLOOKUP(A23,dict.term!A:G,2,FALSE)&amp;""</f>
        <v/>
      </c>
      <c r="D23" s="24">
        <f>VLOOKUP(A23,dict.term!A:G,3,FALSE)&amp;""</f>
        <v/>
      </c>
      <c r="E23" s="24">
        <f>VLOOKUP(A23,dict.term!A:G,4,FALSE)&amp;""</f>
        <v/>
      </c>
      <c r="F23" s="24">
        <f>VLOOKUP(A23,dict.term!A:G,5,FALSE)&amp;""</f>
        <v/>
      </c>
      <c r="G23" s="24">
        <f>VLOOKUP(A23,dict.term!A:G,6,FALSE)&amp;""</f>
        <v/>
      </c>
      <c r="H23" s="24">
        <f>VLOOKUP(A23,dict.term!A:G,7,FALSE)&amp;""</f>
        <v/>
      </c>
    </row>
    <row r="24" ht="18.75" customHeight="1">
      <c r="A24" s="3" t="inlineStr">
        <is>
          <t>5e166ac4-bfcd-457a-84bc-8626abe9188f</t>
        </is>
      </c>
      <c r="B24" s="3" t="inlineStr">
        <is>
          <t>sample.general.supplier</t>
        </is>
      </c>
      <c r="C24" s="24">
        <f>VLOOKUP(A24,dict.term!A:G,2,FALSE)&amp;""</f>
        <v/>
      </c>
      <c r="D24" s="24">
        <f>VLOOKUP(A24,dict.term!A:G,3,FALSE)&amp;""</f>
        <v/>
      </c>
      <c r="E24" s="24">
        <f>VLOOKUP(A24,dict.term!A:G,4,FALSE)&amp;""</f>
        <v/>
      </c>
      <c r="F24" s="24">
        <f>VLOOKUP(A24,dict.term!A:G,5,FALSE)&amp;""</f>
        <v/>
      </c>
      <c r="G24" s="24">
        <f>VLOOKUP(A24,dict.term!A:G,6,FALSE)&amp;""</f>
        <v/>
      </c>
      <c r="H24" s="24">
        <f>VLOOKUP(A24,dict.term!A:G,7,FALSE)&amp;""</f>
        <v/>
      </c>
    </row>
    <row r="25" ht="18.75" customHeight="1">
      <c r="A25" s="3" t="inlineStr">
        <is>
          <t>0d0417a3-3c3b-496a-b0fb-5a26f8a74166</t>
        </is>
      </c>
      <c r="B25" s="3" t="inlineStr">
        <is>
          <t>sample.general.lot-number-or-product-number-etc</t>
        </is>
      </c>
      <c r="C25" s="24">
        <f>VLOOKUP(A25,dict.term!A:G,2,FALSE)&amp;""</f>
        <v/>
      </c>
      <c r="D25" s="24">
        <f>VLOOKUP(A25,dict.term!A:G,3,FALSE)&amp;""</f>
        <v/>
      </c>
      <c r="E25" s="24">
        <f>VLOOKUP(A25,dict.term!A:G,4,FALSE)&amp;""</f>
        <v/>
      </c>
      <c r="F25" s="24">
        <f>VLOOKUP(A25,dict.term!A:G,5,FALSE)&amp;""</f>
        <v/>
      </c>
      <c r="G25" s="24">
        <f>VLOOKUP(A25,dict.term!A:G,6,FALSE)&amp;""</f>
        <v/>
      </c>
      <c r="H25" s="24">
        <f>VLOOKUP(A25,dict.term!A:G,7,FALSE)&amp;""</f>
        <v/>
      </c>
    </row>
    <row r="26" ht="18.75" customHeight="1"/>
    <row r="27" ht="18.75" customHeight="1"/>
    <row r="28" ht="18.75" customHeight="1"/>
    <row r="29" ht="18.75" customHeight="1"/>
    <row r="30" ht="18.75" customHeight="1"/>
    <row r="31" ht="18.75" customHeight="1"/>
    <row r="32" ht="18.75" customHeight="1"/>
    <row r="33" ht="18.75" customHeight="1"/>
    <row r="34" ht="18.75" customHeight="1"/>
    <row r="35" ht="18.75" customHeight="1"/>
    <row r="36" ht="18.75" customHeight="1"/>
    <row r="37" ht="18.75" customHeight="1"/>
    <row r="38" ht="18.75" customHeight="1"/>
    <row r="39" ht="18.75" customHeight="1"/>
    <row r="40" ht="18.75" customHeight="1"/>
    <row r="41" ht="18.75" customHeight="1"/>
    <row r="42" ht="18.75" customHeight="1"/>
    <row r="43" ht="18.75" customHeight="1"/>
    <row r="44" ht="18.75" customHeight="1"/>
    <row r="45" ht="18.75" customHeight="1"/>
    <row r="46" ht="18.75" customHeight="1"/>
    <row r="47" ht="18.75" customHeight="1"/>
    <row r="48" ht="18.75" customHeight="1"/>
    <row r="49" ht="18.75" customHeight="1"/>
    <row r="50" ht="18.75" customHeight="1"/>
    <row r="51" ht="18.75" customHeight="1"/>
    <row r="52" ht="18.75" customHeight="1"/>
    <row r="53" ht="18.75" customHeight="1"/>
    <row r="54" ht="18.75" customHeight="1"/>
    <row r="55" ht="18.75" customHeight="1"/>
    <row r="56" ht="18.75" customHeight="1"/>
    <row r="57" ht="18.75" customHeight="1"/>
    <row r="58" ht="18.75" customHeight="1"/>
    <row r="59" ht="18.75" customHeight="1"/>
    <row r="60" ht="18.75" customHeight="1"/>
    <row r="61" ht="18.75" customHeight="1"/>
    <row r="62" ht="18.75" customHeight="1"/>
    <row r="63" ht="18.75" customHeight="1"/>
    <row r="64" ht="18.75" customHeight="1"/>
    <row r="65" ht="18.75" customHeight="1"/>
    <row r="66" ht="18.75" customHeight="1"/>
    <row r="67" ht="18.75" customHeight="1"/>
    <row r="68" ht="18.75" customHeight="1"/>
    <row r="69" ht="18.75" customHeight="1"/>
    <row r="70" ht="18.75" customHeight="1"/>
    <row r="71" ht="18.75" customHeight="1"/>
    <row r="72" ht="18.75" customHeight="1"/>
    <row r="73" ht="18.75" customHeight="1"/>
    <row r="74" ht="18.75" customHeight="1"/>
    <row r="75" ht="18.75" customHeight="1"/>
    <row r="76" ht="18.75" customHeight="1"/>
    <row r="77" ht="18.75" customHeight="1"/>
    <row r="78" ht="18.75" customHeight="1"/>
    <row r="79" ht="18.75" customHeight="1"/>
    <row r="80" ht="18.75" customHeight="1"/>
    <row r="81" ht="18.75" customHeight="1"/>
    <row r="82" ht="18.75" customHeight="1"/>
    <row r="83" ht="18.75" customHeight="1"/>
    <row r="84" ht="18.75" customHeight="1"/>
    <row r="85" ht="18.75" customHeight="1"/>
    <row r="86" ht="18.75" customHeight="1"/>
    <row r="87" ht="18.75" customHeight="1"/>
    <row r="88" ht="18.75" customHeight="1"/>
    <row r="89" ht="18.75" customHeight="1"/>
    <row r="90" ht="18.75" customHeight="1"/>
    <row r="91" ht="18.75" customHeight="1"/>
    <row r="92" ht="18.75" customHeight="1"/>
    <row r="93" ht="18.75" customHeight="1"/>
    <row r="94" ht="18.75" customHeight="1"/>
    <row r="95" ht="18.75" customHeight="1"/>
    <row r="96" ht="18.75" customHeight="1"/>
    <row r="97" ht="18.75" customHeight="1"/>
    <row r="98" ht="18.75" customHeight="1"/>
    <row r="99" ht="18.75" customHeight="1"/>
    <row r="100" ht="18.75" customHeight="1"/>
    <row r="101" ht="18.75" customHeight="1"/>
    <row r="102" ht="18.75" customHeight="1"/>
    <row r="103" ht="18.75" customHeight="1"/>
    <row r="104" ht="18.75" customHeight="1"/>
    <row r="105" ht="18.75" customHeight="1"/>
    <row r="106" ht="18.75" customHeight="1"/>
    <row r="107" ht="18.75" customHeight="1"/>
    <row r="108" ht="18.75" customHeight="1"/>
    <row r="109" ht="18.75" customHeight="1"/>
    <row r="110" ht="18.75" customHeight="1"/>
    <row r="111" ht="18.75" customHeight="1"/>
    <row r="112" ht="18.75" customHeight="1"/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  <row r="141" ht="18.75" customHeight="1"/>
    <row r="142" ht="18.75" customHeight="1"/>
    <row r="143" ht="18.75" customHeight="1"/>
    <row r="144" ht="18.75" customHeight="1"/>
    <row r="145" ht="18.75" customHeight="1"/>
    <row r="146" ht="18.75" customHeight="1"/>
    <row r="147" ht="18.75" customHeight="1"/>
    <row r="148" ht="18.75" customHeight="1"/>
    <row r="149" ht="18.75" customHeight="1"/>
    <row r="150" ht="18.75" customHeight="1"/>
    <row r="151" ht="18.75" customHeight="1"/>
    <row r="152" ht="18.75" customHeight="1"/>
    <row r="153" ht="18.75" customHeight="1"/>
    <row r="154" ht="18.75" customHeight="1"/>
    <row r="155" ht="18.75" customHeight="1"/>
    <row r="156" ht="18.75" customHeight="1"/>
    <row r="157" ht="18.75" customHeight="1"/>
    <row r="158" ht="18.75" customHeight="1"/>
    <row r="159" ht="18.75" customHeight="1"/>
    <row r="160" ht="18.75" customHeight="1"/>
    <row r="161" ht="18.75" customHeight="1"/>
    <row r="162" ht="18.75" customHeight="1"/>
    <row r="163" ht="18.75" customHeight="1"/>
    <row r="164" ht="18.75" customHeight="1"/>
    <row r="165" ht="18.75" customHeight="1"/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  <row r="951" ht="18.75" customHeight="1"/>
    <row r="952" ht="18.75" customHeight="1"/>
    <row r="953" ht="18.75" customHeight="1"/>
    <row r="954" ht="18.75" customHeight="1"/>
    <row r="955" ht="18.75" customHeight="1"/>
    <row r="956" ht="18.75" customHeight="1"/>
    <row r="957" ht="18.75" customHeight="1"/>
    <row r="958" ht="18.75" customHeight="1"/>
    <row r="959" ht="18.75" customHeight="1"/>
    <row r="960" ht="18.75" customHeight="1"/>
    <row r="961" ht="18.75" customHeight="1"/>
    <row r="962" ht="18.75" customHeight="1"/>
    <row r="963" ht="18.75" customHeight="1"/>
    <row r="964" ht="18.75" customHeight="1"/>
    <row r="965" ht="18.75" customHeight="1"/>
    <row r="966" ht="18.75" customHeight="1"/>
    <row r="967" ht="18.75" customHeight="1"/>
    <row r="968" ht="18.75" customHeight="1"/>
    <row r="969" ht="18.75" customHeight="1"/>
    <row r="970" ht="18.75" customHeight="1"/>
    <row r="971" ht="18.75" customHeight="1"/>
    <row r="972" ht="18.75" customHeight="1"/>
    <row r="973" ht="18.75" customHeight="1"/>
    <row r="974" ht="18.75" customHeight="1"/>
    <row r="975" ht="18.75" customHeight="1"/>
    <row r="976" ht="18.75" customHeight="1"/>
    <row r="977" ht="18.75" customHeight="1"/>
    <row r="978" ht="18.75" customHeight="1"/>
    <row r="979" ht="18.75" customHeight="1"/>
    <row r="980" ht="18.75" customHeight="1"/>
    <row r="981" ht="18.75" customHeight="1"/>
    <row r="982" ht="18.75" customHeight="1"/>
    <row r="983" ht="18.75" customHeight="1"/>
    <row r="984" ht="18.75" customHeight="1"/>
    <row r="985" ht="18.75" customHeight="1"/>
    <row r="986" ht="18.75" customHeight="1"/>
    <row r="987" ht="18.75" customHeight="1"/>
    <row r="988" ht="18.75" customHeight="1"/>
    <row r="989" ht="18.75" customHeight="1"/>
    <row r="990" ht="18.75" customHeight="1"/>
    <row r="991" ht="18.75" customHeight="1"/>
    <row r="992" ht="18.75" customHeight="1"/>
    <row r="993" ht="18.75" customHeight="1"/>
    <row r="994" ht="18.75" customHeight="1"/>
    <row r="995" ht="18.75" customHeight="1"/>
    <row r="996" ht="18.75" customHeight="1"/>
    <row r="997" ht="18.75" customHeight="1"/>
    <row r="998" ht="18.75" customHeight="1"/>
    <row r="999" ht="18.75" customHeight="1"/>
    <row r="1000" ht="18.75" customHeight="1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0"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20" customWidth="1" min="3" max="3"/>
  </cols>
  <sheetData>
    <row r="1" ht="18.75" customHeight="1">
      <c r="A1" s="3" t="inlineStr">
        <is>
          <t>id</t>
        </is>
      </c>
      <c r="B1" s="3" t="inlineStr">
        <is>
          <t>name_ja</t>
        </is>
      </c>
      <c r="C1" s="3" t="inlineStr">
        <is>
          <t>name_en</t>
        </is>
      </c>
    </row>
    <row r="2" ht="18.75" customHeight="1">
      <c r="A2" s="3" t="inlineStr">
        <is>
          <t>01cb3c01-37a4-5a43-d8ca-f523ca99a75b</t>
        </is>
      </c>
      <c r="B2" s="3" t="inlineStr">
        <is>
          <t>有機材料</t>
        </is>
      </c>
      <c r="C2" s="3" t="inlineStr">
        <is>
          <t>organic material</t>
        </is>
      </c>
    </row>
    <row r="3" ht="18.75" customHeight="1">
      <c r="A3" s="3" t="inlineStr">
        <is>
          <t>932e4fe1-9724-305f-ffc5-1908c31c83e5</t>
        </is>
      </c>
      <c r="B3" s="3" t="inlineStr">
        <is>
          <t>無機材料</t>
        </is>
      </c>
      <c r="C3" s="3" t="inlineStr">
        <is>
          <t>inorganic material</t>
        </is>
      </c>
    </row>
    <row r="4" ht="18.75" customHeight="1">
      <c r="A4" s="3" t="inlineStr">
        <is>
          <t>a674a8ef-efa8-9497-4ed4-74de55fafddb</t>
        </is>
      </c>
      <c r="B4" s="3" t="inlineStr">
        <is>
          <t>金属・合金</t>
        </is>
      </c>
      <c r="C4" s="3" t="inlineStr">
        <is>
          <t>metals and alloys</t>
        </is>
      </c>
    </row>
    <row r="5" ht="18.75" customHeight="1">
      <c r="A5" s="3" t="inlineStr">
        <is>
          <t>342ba516-4d02-171c-9bc4-70a3134b47a8</t>
        </is>
      </c>
      <c r="B5" s="3" t="inlineStr">
        <is>
          <t>ポリマー</t>
        </is>
      </c>
      <c r="C5" s="3" t="inlineStr">
        <is>
          <t>polymers</t>
        </is>
      </c>
    </row>
    <row r="6" ht="18.75" customHeight="1">
      <c r="A6" s="3" t="inlineStr">
        <is>
          <t>52148afb-6759-23e8-c8b8-33912ec5bfcf</t>
        </is>
      </c>
      <c r="B6" s="3" t="inlineStr">
        <is>
          <t>半導体</t>
        </is>
      </c>
      <c r="C6" s="3" t="inlineStr">
        <is>
          <t>semiconductors</t>
        </is>
      </c>
    </row>
    <row r="7" ht="18.75" customHeight="1">
      <c r="A7" s="3" t="inlineStr">
        <is>
          <t>961c9637-9b83-0e9d-e60e-ffc1e2517afd</t>
        </is>
      </c>
      <c r="B7" s="3" t="inlineStr">
        <is>
          <t>セラミックス</t>
        </is>
      </c>
      <c r="C7" s="3" t="inlineStr">
        <is>
          <t>ceramics</t>
        </is>
      </c>
    </row>
    <row r="8" ht="18.75" customHeight="1">
      <c r="A8" s="3" t="inlineStr">
        <is>
          <t>0dde5969-3039-739b-b33b-97df40450790</t>
        </is>
      </c>
      <c r="B8" s="3" t="inlineStr">
        <is>
          <t>生物学的物質</t>
        </is>
      </c>
      <c r="C8" s="3" t="inlineStr">
        <is>
          <t>biological</t>
        </is>
      </c>
    </row>
    <row r="9" ht="18.75" customHeight="1"/>
    <row r="10" ht="18.75" customHeight="1"/>
    <row r="11" ht="18.75" customHeight="1"/>
    <row r="12" ht="18.75" customHeight="1"/>
    <row r="13" ht="18.75" customHeight="1"/>
    <row r="14" ht="18.75" customHeight="1"/>
    <row r="15" ht="18.75" customHeight="1"/>
    <row r="16" ht="18.75" customHeight="1"/>
    <row r="17" ht="18.75" customHeight="1"/>
    <row r="18" ht="18.75" customHeight="1"/>
    <row r="19" ht="18.75" customHeight="1"/>
    <row r="20" ht="18.75" customHeight="1"/>
    <row r="21" ht="18.75" customHeight="1"/>
    <row r="22" ht="18.75" customHeight="1"/>
    <row r="23" ht="18.75" customHeight="1"/>
    <row r="24" ht="18.75" customHeight="1"/>
    <row r="25" ht="18.75" customHeight="1"/>
    <row r="26" ht="18.75" customHeight="1"/>
    <row r="27" ht="18.75" customHeight="1"/>
    <row r="28" ht="18.75" customHeight="1"/>
    <row r="29" ht="18.75" customHeight="1"/>
    <row r="30" ht="18.75" customHeight="1"/>
    <row r="31" ht="18.75" customHeight="1"/>
    <row r="32" ht="18.75" customHeight="1"/>
    <row r="33" ht="18.75" customHeight="1"/>
    <row r="34" ht="18.75" customHeight="1"/>
    <row r="35" ht="18.75" customHeight="1"/>
    <row r="36" ht="18.75" customHeight="1"/>
    <row r="37" ht="18.75" customHeight="1"/>
    <row r="38" ht="18.75" customHeight="1"/>
    <row r="39" ht="18.75" customHeight="1"/>
    <row r="40" ht="18.75" customHeight="1"/>
    <row r="41" ht="18.75" customHeight="1"/>
    <row r="42" ht="18.75" customHeight="1"/>
    <row r="43" ht="18.75" customHeight="1"/>
    <row r="44" ht="18.75" customHeight="1"/>
    <row r="45" ht="18.75" customHeight="1"/>
    <row r="46" ht="18.75" customHeight="1"/>
    <row r="47" ht="18.75" customHeight="1"/>
    <row r="48" ht="18.75" customHeight="1"/>
    <row r="49" ht="18.75" customHeight="1"/>
    <row r="50" ht="18.75" customHeight="1"/>
    <row r="51" ht="18.75" customHeight="1"/>
    <row r="52" ht="18.75" customHeight="1"/>
    <row r="53" ht="18.75" customHeight="1"/>
    <row r="54" ht="18.75" customHeight="1"/>
    <row r="55" ht="18.75" customHeight="1"/>
    <row r="56" ht="18.75" customHeight="1"/>
    <row r="57" ht="18.75" customHeight="1"/>
    <row r="58" ht="18.75" customHeight="1"/>
    <row r="59" ht="18.75" customHeight="1"/>
    <row r="60" ht="18.75" customHeight="1"/>
    <row r="61" ht="18.75" customHeight="1"/>
    <row r="62" ht="18.75" customHeight="1"/>
    <row r="63" ht="18.75" customHeight="1"/>
    <row r="64" ht="18.75" customHeight="1"/>
    <row r="65" ht="18.75" customHeight="1"/>
    <row r="66" ht="18.75" customHeight="1"/>
    <row r="67" ht="18.75" customHeight="1"/>
    <row r="68" ht="18.75" customHeight="1"/>
    <row r="69" ht="18.75" customHeight="1"/>
    <row r="70" ht="18.75" customHeight="1"/>
    <row r="71" ht="18.75" customHeight="1"/>
    <row r="72" ht="18.75" customHeight="1"/>
    <row r="73" ht="18.75" customHeight="1"/>
    <row r="74" ht="18.75" customHeight="1"/>
    <row r="75" ht="18.75" customHeight="1"/>
    <row r="76" ht="18.75" customHeight="1"/>
    <row r="77" ht="18.75" customHeight="1"/>
    <row r="78" ht="18.75" customHeight="1"/>
    <row r="79" ht="18.75" customHeight="1"/>
    <row r="80" ht="18.75" customHeight="1"/>
    <row r="81" ht="18.75" customHeight="1"/>
    <row r="82" ht="18.75" customHeight="1"/>
    <row r="83" ht="18.75" customHeight="1"/>
    <row r="84" ht="18.75" customHeight="1"/>
    <row r="85" ht="18.75" customHeight="1"/>
    <row r="86" ht="18.75" customHeight="1"/>
    <row r="87" ht="18.75" customHeight="1"/>
    <row r="88" ht="18.75" customHeight="1"/>
    <row r="89" ht="18.75" customHeight="1"/>
    <row r="90" ht="18.75" customHeight="1"/>
    <row r="91" ht="18.75" customHeight="1"/>
    <row r="92" ht="18.75" customHeight="1"/>
    <row r="93" ht="18.75" customHeight="1"/>
    <row r="94" ht="18.75" customHeight="1"/>
    <row r="95" ht="18.75" customHeight="1"/>
    <row r="96" ht="18.75" customHeight="1"/>
    <row r="97" ht="18.75" customHeight="1"/>
    <row r="98" ht="18.75" customHeight="1"/>
    <row r="99" ht="18.75" customHeight="1"/>
    <row r="100" ht="18.75" customHeight="1"/>
    <row r="101" ht="18.75" customHeight="1"/>
    <row r="102" ht="18.75" customHeight="1"/>
    <row r="103" ht="18.75" customHeight="1"/>
    <row r="104" ht="18.75" customHeight="1"/>
    <row r="105" ht="18.75" customHeight="1"/>
    <row r="106" ht="18.75" customHeight="1"/>
    <row r="107" ht="18.75" customHeight="1"/>
    <row r="108" ht="18.75" customHeight="1"/>
    <row r="109" ht="18.75" customHeight="1"/>
    <row r="110" ht="18.75" customHeight="1"/>
    <row r="111" ht="18.75" customHeight="1"/>
    <row r="112" ht="18.75" customHeight="1"/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  <row r="141" ht="18.75" customHeight="1"/>
    <row r="142" ht="18.75" customHeight="1"/>
    <row r="143" ht="18.75" customHeight="1"/>
    <row r="144" ht="18.75" customHeight="1"/>
    <row r="145" ht="18.75" customHeight="1"/>
    <row r="146" ht="18.75" customHeight="1"/>
    <row r="147" ht="18.75" customHeight="1"/>
    <row r="148" ht="18.75" customHeight="1"/>
    <row r="149" ht="18.75" customHeight="1"/>
    <row r="150" ht="18.75" customHeight="1"/>
    <row r="151" ht="18.75" customHeight="1"/>
    <row r="152" ht="18.75" customHeight="1"/>
    <row r="153" ht="18.75" customHeight="1"/>
    <row r="154" ht="18.75" customHeight="1"/>
    <row r="155" ht="18.75" customHeight="1"/>
    <row r="156" ht="18.75" customHeight="1"/>
    <row r="157" ht="18.75" customHeight="1"/>
    <row r="158" ht="18.75" customHeight="1"/>
    <row r="159" ht="18.75" customHeight="1"/>
    <row r="160" ht="18.75" customHeight="1"/>
    <row r="161" ht="18.75" customHeight="1"/>
    <row r="162" ht="18.75" customHeight="1"/>
    <row r="163" ht="18.75" customHeight="1"/>
    <row r="164" ht="18.75" customHeight="1"/>
    <row r="165" ht="18.75" customHeight="1"/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  <row r="951" ht="18.75" customHeight="1"/>
    <row r="952" ht="18.75" customHeight="1"/>
    <row r="953" ht="18.75" customHeight="1"/>
    <row r="954" ht="18.75" customHeight="1"/>
    <row r="955" ht="18.75" customHeight="1"/>
    <row r="956" ht="18.75" customHeight="1"/>
    <row r="957" ht="18.75" customHeight="1"/>
    <row r="958" ht="18.75" customHeight="1"/>
    <row r="959" ht="18.75" customHeight="1"/>
    <row r="960" ht="18.75" customHeight="1"/>
    <row r="961" ht="18.75" customHeight="1"/>
    <row r="962" ht="18.75" customHeight="1"/>
    <row r="963" ht="18.75" customHeight="1"/>
    <row r="964" ht="18.75" customHeight="1"/>
    <row r="965" ht="18.75" customHeight="1"/>
    <row r="966" ht="18.75" customHeight="1"/>
    <row r="967" ht="18.75" customHeight="1"/>
    <row r="968" ht="18.75" customHeight="1"/>
    <row r="969" ht="18.75" customHeight="1"/>
    <row r="970" ht="18.75" customHeight="1"/>
    <row r="971" ht="18.75" customHeight="1"/>
    <row r="972" ht="18.75" customHeight="1"/>
    <row r="973" ht="18.75" customHeight="1"/>
    <row r="974" ht="18.75" customHeight="1"/>
    <row r="975" ht="18.75" customHeight="1"/>
    <row r="976" ht="18.75" customHeight="1"/>
    <row r="977" ht="18.75" customHeight="1"/>
    <row r="978" ht="18.75" customHeight="1"/>
    <row r="979" ht="18.75" customHeight="1"/>
    <row r="980" ht="18.75" customHeight="1"/>
    <row r="981" ht="18.75" customHeight="1"/>
    <row r="982" ht="18.75" customHeight="1"/>
    <row r="983" ht="18.75" customHeight="1"/>
    <row r="984" ht="18.75" customHeight="1"/>
    <row r="985" ht="18.75" customHeight="1"/>
    <row r="986" ht="18.75" customHeight="1"/>
    <row r="987" ht="18.75" customHeight="1"/>
    <row r="988" ht="18.75" customHeight="1"/>
    <row r="989" ht="18.75" customHeight="1"/>
    <row r="990" ht="18.75" customHeight="1"/>
    <row r="991" ht="18.75" customHeight="1"/>
    <row r="992" ht="18.75" customHeight="1"/>
    <row r="993" ht="18.75" customHeight="1"/>
    <row r="994" ht="18.75" customHeight="1"/>
    <row r="995" ht="18.75" customHeight="1"/>
    <row r="996" ht="18.75" customHeight="1"/>
    <row r="997" ht="18.75" customHeight="1"/>
    <row r="998" ht="18.75" customHeight="1"/>
    <row r="999" ht="18.75" customHeight="1"/>
    <row r="1000" ht="18.75" customHeight="1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6"/>
  <sheetViews>
    <sheetView tabSelected="0"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50" customWidth="1" min="3" max="3"/>
    <col width="35" customWidth="1" min="4" max="4"/>
    <col width="35" customWidth="1" min="5" max="5"/>
    <col width="25" customWidth="1" min="6" max="6"/>
    <col width="30" customWidth="1" min="7" max="7"/>
    <col width="45" customWidth="1" min="8" max="8"/>
    <col width="45" customWidth="1" min="9" max="9"/>
    <col width="50" customWidth="1" min="10" max="10"/>
    <col width="40" customWidth="1" min="11" max="11"/>
    <col width="40" customWidth="1" min="12" max="12"/>
    <col width="40" customWidth="1" min="13" max="13"/>
  </cols>
  <sheetData>
    <row r="1" ht="18.75" customHeight="1">
      <c r="A1" s="3" t="inlineStr">
        <is>
          <t>sample_class_id</t>
        </is>
      </c>
      <c r="B1" s="3" t="inlineStr">
        <is>
          <t>term_id</t>
        </is>
      </c>
      <c r="C1" s="3" t="inlineStr">
        <is>
          <t>key_name</t>
        </is>
      </c>
      <c r="D1" s="3" t="inlineStr">
        <is>
          <t>sample.sample_class.name_ja</t>
        </is>
      </c>
      <c r="E1" s="3" t="inlineStr">
        <is>
          <t>sample.sample_class.name_en</t>
        </is>
      </c>
      <c r="F1" s="3" t="inlineStr">
        <is>
          <t>dict.term.name_ja</t>
        </is>
      </c>
      <c r="G1" s="3" t="inlineStr">
        <is>
          <t>dict.term.name_en</t>
        </is>
      </c>
      <c r="H1" s="3" t="inlineStr">
        <is>
          <t>dict.term.hint_ja</t>
        </is>
      </c>
      <c r="I1" s="3" t="inlineStr">
        <is>
          <t>dict.term.hint_en</t>
        </is>
      </c>
      <c r="J1" s="3" t="inlineStr">
        <is>
          <t>dict.term.term_uri</t>
        </is>
      </c>
      <c r="K1" s="3" t="inlineStr">
        <is>
          <t>dict.term.created</t>
        </is>
      </c>
      <c r="L1" s="3" t="inlineStr">
        <is>
          <t>bind_class_and_term_ja</t>
        </is>
      </c>
      <c r="M1" s="3" t="inlineStr">
        <is>
          <t>bind_class_and_term_en</t>
        </is>
      </c>
    </row>
    <row r="2" ht="18.75" customHeight="1">
      <c r="A2" s="3" t="inlineStr">
        <is>
          <t>01cb3c01-37a4-5a43-d8ca-f523ca99a75b</t>
        </is>
      </c>
      <c r="B2" s="3" t="inlineStr">
        <is>
          <t>3250c45d-0ed6-1438-43b5-eb679918604a</t>
        </is>
      </c>
      <c r="C2" s="3" t="inlineStr">
        <is>
          <t>sample.specific.organic.chemical-formula</t>
        </is>
      </c>
      <c r="D2" s="24">
        <f>VLOOKUP(A2,sample.sample_class!A:C,2,FALSE)&amp;""</f>
        <v/>
      </c>
      <c r="E2" s="24">
        <f>VLOOKUP(A2,sample.sample_class!A:C,3,FALSE)&amp;""</f>
        <v/>
      </c>
      <c r="F2" s="24">
        <f>VLOOKUP(B2,dict.term!A:G,2,FALSE)&amp;""</f>
        <v/>
      </c>
      <c r="G2" s="24">
        <f>VLOOKUP(B2,dict.term!A:G,3,FALSE)&amp;""</f>
        <v/>
      </c>
      <c r="H2" s="24">
        <f>VLOOKUP(B2,dict.term!A:G,4,FALSE)&amp;""</f>
        <v/>
      </c>
      <c r="I2" s="24">
        <f>VLOOKUP(B2,dict.term!A:G,5,FALSE)&amp;""</f>
        <v/>
      </c>
      <c r="J2" s="24">
        <f>VLOOKUP(B2,dict.term!A:G,6,FALSE)&amp;""</f>
        <v/>
      </c>
      <c r="K2" s="24">
        <f>VLOOKUP(B2,dict.term!A:G,7,FALSE)&amp;""</f>
        <v/>
      </c>
      <c r="L2" s="24">
        <f>D2&amp;"/"&amp;F2</f>
        <v/>
      </c>
      <c r="M2" s="24">
        <f>E2&amp;"/"&amp;G2</f>
        <v/>
      </c>
    </row>
    <row r="3" ht="18.75" customHeight="1">
      <c r="A3" s="3" t="inlineStr">
        <is>
          <t>01cb3c01-37a4-5a43-d8ca-f523ca99a75b</t>
        </is>
      </c>
      <c r="B3" s="3" t="inlineStr">
        <is>
          <t>70c2c751-5404-19b7-4a5e-981e6cebbb15</t>
        </is>
      </c>
      <c r="C3" s="3" t="inlineStr">
        <is>
          <t>sample.specific.organic.name</t>
        </is>
      </c>
      <c r="D3" s="24">
        <f>VLOOKUP(A3,sample.sample_class!A:C,2,FALSE)&amp;""</f>
        <v/>
      </c>
      <c r="E3" s="24">
        <f>VLOOKUP(A3,sample.sample_class!A:C,3,FALSE)&amp;""</f>
        <v/>
      </c>
      <c r="F3" s="24">
        <f>VLOOKUP(B3,dict.term!A:G,2,FALSE)&amp;""</f>
        <v/>
      </c>
      <c r="G3" s="24">
        <f>VLOOKUP(B3,dict.term!A:G,3,FALSE)&amp;""</f>
        <v/>
      </c>
      <c r="H3" s="24">
        <f>VLOOKUP(B3,dict.term!A:G,4,FALSE)&amp;""</f>
        <v/>
      </c>
      <c r="I3" s="24">
        <f>VLOOKUP(B3,dict.term!A:G,5,FALSE)&amp;""</f>
        <v/>
      </c>
      <c r="J3" s="24">
        <f>VLOOKUP(B3,dict.term!A:G,6,FALSE)&amp;""</f>
        <v/>
      </c>
      <c r="K3" s="24">
        <f>VLOOKUP(B3,dict.term!A:G,7,FALSE)&amp;""</f>
        <v/>
      </c>
      <c r="L3" s="24">
        <f>D3&amp;"/"&amp;F3</f>
        <v/>
      </c>
      <c r="M3" s="24">
        <f>E3&amp;"/"&amp;G3</f>
        <v/>
      </c>
    </row>
    <row r="4" ht="18.75" customHeight="1">
      <c r="A4" s="3" t="inlineStr">
        <is>
          <t>01cb3c01-37a4-5a43-d8ca-f523ca99a75b</t>
        </is>
      </c>
      <c r="B4" s="3" t="inlineStr">
        <is>
          <t>e2d20d02-2e38-2cd3-b1b3-66fdb8a11057</t>
        </is>
      </c>
      <c r="C4" s="3" t="inlineStr">
        <is>
          <t>sample.specific.organic.cas-number</t>
        </is>
      </c>
      <c r="D4" s="24">
        <f>VLOOKUP(A4,sample.sample_class!A:C,2,FALSE)&amp;""</f>
        <v/>
      </c>
      <c r="E4" s="24">
        <f>VLOOKUP(A4,sample.sample_class!A:C,3,FALSE)&amp;""</f>
        <v/>
      </c>
      <c r="F4" s="24">
        <f>VLOOKUP(B4,dict.term!A:G,2,FALSE)&amp;""</f>
        <v/>
      </c>
      <c r="G4" s="24">
        <f>VLOOKUP(B4,dict.term!A:G,3,FALSE)&amp;""</f>
        <v/>
      </c>
      <c r="H4" s="24">
        <f>VLOOKUP(B4,dict.term!A:G,4,FALSE)&amp;""</f>
        <v/>
      </c>
      <c r="I4" s="24">
        <f>VLOOKUP(B4,dict.term!A:G,5,FALSE)&amp;""</f>
        <v/>
      </c>
      <c r="J4" s="24">
        <f>VLOOKUP(B4,dict.term!A:G,6,FALSE)&amp;""</f>
        <v/>
      </c>
      <c r="K4" s="24">
        <f>VLOOKUP(B4,dict.term!A:G,7,FALSE)&amp;""</f>
        <v/>
      </c>
      <c r="L4" s="24">
        <f>D4&amp;"/"&amp;F4</f>
        <v/>
      </c>
      <c r="M4" s="24">
        <f>E4&amp;"/"&amp;G4</f>
        <v/>
      </c>
    </row>
    <row r="5" ht="18.75" customHeight="1">
      <c r="A5" s="3" t="inlineStr">
        <is>
          <t>01cb3c01-37a4-5a43-d8ca-f523ca99a75b</t>
        </is>
      </c>
      <c r="B5" s="3" t="inlineStr">
        <is>
          <t>518e26a0-4262-86f5-3598-80e18e6ff2af</t>
        </is>
      </c>
      <c r="C5" s="3" t="inlineStr">
        <is>
          <t>sample.specific.organic.pubchem</t>
        </is>
      </c>
      <c r="D5" s="24">
        <f>VLOOKUP(A5,sample.sample_class!A:C,2,FALSE)&amp;""</f>
        <v/>
      </c>
      <c r="E5" s="24">
        <f>VLOOKUP(A5,sample.sample_class!A:C,3,FALSE)&amp;""</f>
        <v/>
      </c>
      <c r="F5" s="24">
        <f>VLOOKUP(B5,dict.term!A:G,2,FALSE)&amp;""</f>
        <v/>
      </c>
      <c r="G5" s="24">
        <f>VLOOKUP(B5,dict.term!A:G,3,FALSE)&amp;""</f>
        <v/>
      </c>
      <c r="H5" s="24">
        <f>VLOOKUP(B5,dict.term!A:G,4,FALSE)&amp;""</f>
        <v/>
      </c>
      <c r="I5" s="24">
        <f>VLOOKUP(B5,dict.term!A:G,5,FALSE)&amp;""</f>
        <v/>
      </c>
      <c r="J5" s="24">
        <f>VLOOKUP(B5,dict.term!A:G,6,FALSE)&amp;""</f>
        <v/>
      </c>
      <c r="K5" s="24">
        <f>VLOOKUP(B5,dict.term!A:G,7,FALSE)&amp;""</f>
        <v/>
      </c>
      <c r="L5" s="24">
        <f>D5&amp;"/"&amp;F5</f>
        <v/>
      </c>
      <c r="M5" s="24">
        <f>E5&amp;"/"&amp;G5</f>
        <v/>
      </c>
    </row>
    <row r="6" ht="18.75" customHeight="1">
      <c r="A6" s="3" t="inlineStr">
        <is>
          <t>01cb3c01-37a4-5a43-d8ca-f523ca99a75b</t>
        </is>
      </c>
      <c r="B6" s="3" t="inlineStr">
        <is>
          <t>3a775d54-5c13-fe66-6405-29c05bc931ce</t>
        </is>
      </c>
      <c r="C6" s="3" t="inlineStr">
        <is>
          <t>sample.specific.organic.viscosity</t>
        </is>
      </c>
      <c r="D6" s="24">
        <f>VLOOKUP(A6,sample.sample_class!A:C,2,FALSE)&amp;""</f>
        <v/>
      </c>
      <c r="E6" s="24">
        <f>VLOOKUP(A6,sample.sample_class!A:C,3,FALSE)&amp;""</f>
        <v/>
      </c>
      <c r="F6" s="24">
        <f>VLOOKUP(B6,dict.term!A:G,2,FALSE)&amp;""</f>
        <v/>
      </c>
      <c r="G6" s="24">
        <f>VLOOKUP(B6,dict.term!A:G,3,FALSE)&amp;""</f>
        <v/>
      </c>
      <c r="H6" s="24">
        <f>VLOOKUP(B6,dict.term!A:G,4,FALSE)&amp;""</f>
        <v/>
      </c>
      <c r="I6" s="24">
        <f>VLOOKUP(B6,dict.term!A:G,5,FALSE)&amp;""</f>
        <v/>
      </c>
      <c r="J6" s="24">
        <f>VLOOKUP(B6,dict.term!A:G,6,FALSE)&amp;""</f>
        <v/>
      </c>
      <c r="K6" s="24">
        <f>VLOOKUP(B6,dict.term!A:G,7,FALSE)&amp;""</f>
        <v/>
      </c>
      <c r="L6" s="24">
        <f>D6&amp;"/"&amp;F6</f>
        <v/>
      </c>
      <c r="M6" s="24">
        <f>E6&amp;"/"&amp;G6</f>
        <v/>
      </c>
    </row>
    <row r="7" ht="18.75" customHeight="1">
      <c r="A7" s="3" t="inlineStr">
        <is>
          <t>01cb3c01-37a4-5a43-d8ca-f523ca99a75b</t>
        </is>
      </c>
      <c r="B7" s="3" t="inlineStr">
        <is>
          <t>659da80e-c2ee-2986-41ce-68201b3bc4dd</t>
        </is>
      </c>
      <c r="C7" s="3" t="inlineStr">
        <is>
          <t>sample.specific.organic.boiling-point</t>
        </is>
      </c>
      <c r="D7" s="24">
        <f>VLOOKUP(A7,sample.sample_class!A:C,2,FALSE)&amp;""</f>
        <v/>
      </c>
      <c r="E7" s="24">
        <f>VLOOKUP(A7,sample.sample_class!A:C,3,FALSE)&amp;""</f>
        <v/>
      </c>
      <c r="F7" s="24">
        <f>VLOOKUP(B7,dict.term!A:G,2,FALSE)&amp;""</f>
        <v/>
      </c>
      <c r="G7" s="24">
        <f>VLOOKUP(B7,dict.term!A:G,3,FALSE)&amp;""</f>
        <v/>
      </c>
      <c r="H7" s="24">
        <f>VLOOKUP(B7,dict.term!A:G,4,FALSE)&amp;""</f>
        <v/>
      </c>
      <c r="I7" s="24">
        <f>VLOOKUP(B7,dict.term!A:G,5,FALSE)&amp;""</f>
        <v/>
      </c>
      <c r="J7" s="24">
        <f>VLOOKUP(B7,dict.term!A:G,6,FALSE)&amp;""</f>
        <v/>
      </c>
      <c r="K7" s="24">
        <f>VLOOKUP(B7,dict.term!A:G,7,FALSE)&amp;""</f>
        <v/>
      </c>
      <c r="L7" s="24">
        <f>D7&amp;"/"&amp;F7</f>
        <v/>
      </c>
      <c r="M7" s="24">
        <f>E7&amp;"/"&amp;G7</f>
        <v/>
      </c>
    </row>
    <row r="8" ht="18.75" customHeight="1">
      <c r="A8" s="3" t="inlineStr">
        <is>
          <t>01cb3c01-37a4-5a43-d8ca-f523ca99a75b</t>
        </is>
      </c>
      <c r="B8" s="3" t="inlineStr">
        <is>
          <t>4efc4c3b-727c-c752-cf28-701b55dba1af</t>
        </is>
      </c>
      <c r="C8" s="3" t="inlineStr">
        <is>
          <t>sample.specific.organic.melting-temperature</t>
        </is>
      </c>
      <c r="D8" s="24">
        <f>VLOOKUP(A8,sample.sample_class!A:C,2,FALSE)&amp;""</f>
        <v/>
      </c>
      <c r="E8" s="24">
        <f>VLOOKUP(A8,sample.sample_class!A:C,3,FALSE)&amp;""</f>
        <v/>
      </c>
      <c r="F8" s="24">
        <f>VLOOKUP(B8,dict.term!A:G,2,FALSE)&amp;""</f>
        <v/>
      </c>
      <c r="G8" s="24">
        <f>VLOOKUP(B8,dict.term!A:G,3,FALSE)&amp;""</f>
        <v/>
      </c>
      <c r="H8" s="24">
        <f>VLOOKUP(B8,dict.term!A:G,4,FALSE)&amp;""</f>
        <v/>
      </c>
      <c r="I8" s="24">
        <f>VLOOKUP(B8,dict.term!A:G,5,FALSE)&amp;""</f>
        <v/>
      </c>
      <c r="J8" s="24">
        <f>VLOOKUP(B8,dict.term!A:G,6,FALSE)&amp;""</f>
        <v/>
      </c>
      <c r="K8" s="24">
        <f>VLOOKUP(B8,dict.term!A:G,7,FALSE)&amp;""</f>
        <v/>
      </c>
      <c r="L8" s="24">
        <f>D8&amp;"/"&amp;F8</f>
        <v/>
      </c>
      <c r="M8" s="24">
        <f>E8&amp;"/"&amp;G8</f>
        <v/>
      </c>
    </row>
    <row r="9" ht="18.75" customHeight="1">
      <c r="A9" s="3" t="inlineStr">
        <is>
          <t>932e4fe1-9724-305f-ffc5-1908c31c83e5</t>
        </is>
      </c>
      <c r="B9" s="3" t="inlineStr">
        <is>
          <t>70c2c751-5404-19b7-4a5e-981e6cebbb15</t>
        </is>
      </c>
      <c r="C9" s="3" t="inlineStr">
        <is>
          <t>sample.specific.inorganic.name</t>
        </is>
      </c>
      <c r="D9" s="24">
        <f>VLOOKUP(A9,sample.sample_class!A:C,2,FALSE)&amp;""</f>
        <v/>
      </c>
      <c r="E9" s="24">
        <f>VLOOKUP(A9,sample.sample_class!A:C,3,FALSE)&amp;""</f>
        <v/>
      </c>
      <c r="F9" s="24">
        <f>VLOOKUP(B9,dict.term!A:G,2,FALSE)&amp;""</f>
        <v/>
      </c>
      <c r="G9" s="24">
        <f>VLOOKUP(B9,dict.term!A:G,3,FALSE)&amp;""</f>
        <v/>
      </c>
      <c r="H9" s="24">
        <f>VLOOKUP(B9,dict.term!A:G,4,FALSE)&amp;""</f>
        <v/>
      </c>
      <c r="I9" s="24">
        <f>VLOOKUP(B9,dict.term!A:G,5,FALSE)&amp;""</f>
        <v/>
      </c>
      <c r="J9" s="24">
        <f>VLOOKUP(B9,dict.term!A:G,6,FALSE)&amp;""</f>
        <v/>
      </c>
      <c r="K9" s="24">
        <f>VLOOKUP(B9,dict.term!A:G,7,FALSE)&amp;""</f>
        <v/>
      </c>
      <c r="L9" s="24">
        <f>D9&amp;"/"&amp;F9</f>
        <v/>
      </c>
      <c r="M9" s="24">
        <f>E9&amp;"/"&amp;G9</f>
        <v/>
      </c>
    </row>
    <row r="10" ht="18.75" customHeight="1">
      <c r="A10" s="3" t="inlineStr">
        <is>
          <t>932e4fe1-9724-305f-ffc5-1908c31c83e5</t>
        </is>
      </c>
      <c r="B10" s="3" t="inlineStr">
        <is>
          <t>3250c45d-0ed6-1438-43b5-eb679918604a</t>
        </is>
      </c>
      <c r="C10" s="3" t="inlineStr">
        <is>
          <t>sample.specific.inorganic.chemical-formula</t>
        </is>
      </c>
      <c r="D10" s="24">
        <f>VLOOKUP(A10,sample.sample_class!A:C,2,FALSE)&amp;""</f>
        <v/>
      </c>
      <c r="E10" s="24">
        <f>VLOOKUP(A10,sample.sample_class!A:C,3,FALSE)&amp;""</f>
        <v/>
      </c>
      <c r="F10" s="24">
        <f>VLOOKUP(B10,dict.term!A:G,2,FALSE)&amp;""</f>
        <v/>
      </c>
      <c r="G10" s="24">
        <f>VLOOKUP(B10,dict.term!A:G,3,FALSE)&amp;""</f>
        <v/>
      </c>
      <c r="H10" s="24">
        <f>VLOOKUP(B10,dict.term!A:G,4,FALSE)&amp;""</f>
        <v/>
      </c>
      <c r="I10" s="24">
        <f>VLOOKUP(B10,dict.term!A:G,5,FALSE)&amp;""</f>
        <v/>
      </c>
      <c r="J10" s="24">
        <f>VLOOKUP(B10,dict.term!A:G,6,FALSE)&amp;""</f>
        <v/>
      </c>
      <c r="K10" s="24">
        <f>VLOOKUP(B10,dict.term!A:G,7,FALSE)&amp;""</f>
        <v/>
      </c>
      <c r="L10" s="24">
        <f>D10&amp;"/"&amp;F10</f>
        <v/>
      </c>
      <c r="M10" s="24">
        <f>E10&amp;"/"&amp;G10</f>
        <v/>
      </c>
    </row>
    <row r="11" ht="18.75" customHeight="1">
      <c r="A11" s="3" t="inlineStr">
        <is>
          <t>932e4fe1-9724-305f-ffc5-1908c31c83e5</t>
        </is>
      </c>
      <c r="B11" s="3" t="inlineStr">
        <is>
          <t>f63149a4-e57c-4273-4c1e-dffa41356d28</t>
        </is>
      </c>
      <c r="C11" s="3" t="inlineStr">
        <is>
          <t>sample.specific.inorganic.space-group</t>
        </is>
      </c>
      <c r="D11" s="24">
        <f>VLOOKUP(A11,sample.sample_class!A:C,2,FALSE)&amp;""</f>
        <v/>
      </c>
      <c r="E11" s="24">
        <f>VLOOKUP(A11,sample.sample_class!A:C,3,FALSE)&amp;""</f>
        <v/>
      </c>
      <c r="F11" s="24">
        <f>VLOOKUP(B11,dict.term!A:G,2,FALSE)&amp;""</f>
        <v/>
      </c>
      <c r="G11" s="24">
        <f>VLOOKUP(B11,dict.term!A:G,3,FALSE)&amp;""</f>
        <v/>
      </c>
      <c r="H11" s="24">
        <f>VLOOKUP(B11,dict.term!A:G,4,FALSE)&amp;""</f>
        <v/>
      </c>
      <c r="I11" s="24">
        <f>VLOOKUP(B11,dict.term!A:G,5,FALSE)&amp;""</f>
        <v/>
      </c>
      <c r="J11" s="24">
        <f>VLOOKUP(B11,dict.term!A:G,6,FALSE)&amp;""</f>
        <v/>
      </c>
      <c r="K11" s="24">
        <f>VLOOKUP(B11,dict.term!A:G,7,FALSE)&amp;""</f>
        <v/>
      </c>
      <c r="L11" s="24">
        <f>D11&amp;"/"&amp;F11</f>
        <v/>
      </c>
      <c r="M11" s="24">
        <f>E11&amp;"/"&amp;G11</f>
        <v/>
      </c>
    </row>
    <row r="12" ht="18.75" customHeight="1">
      <c r="A12" s="3" t="inlineStr">
        <is>
          <t>a674a8ef-efa8-9497-4ed4-74de55fafddb</t>
        </is>
      </c>
      <c r="B12" s="3" t="inlineStr">
        <is>
          <t>3250c45d-0ed6-1438-43b5-eb679918604a</t>
        </is>
      </c>
      <c r="C12" s="3" t="inlineStr">
        <is>
          <t>sample.specific.metals.chemical-formula</t>
        </is>
      </c>
      <c r="D12" s="24">
        <f>VLOOKUP(A12,sample.sample_class!A:C,2,FALSE)&amp;""</f>
        <v/>
      </c>
      <c r="E12" s="24">
        <f>VLOOKUP(A12,sample.sample_class!A:C,3,FALSE)&amp;""</f>
        <v/>
      </c>
      <c r="F12" s="24">
        <f>VLOOKUP(B12,dict.term!A:G,2,FALSE)&amp;""</f>
        <v/>
      </c>
      <c r="G12" s="24">
        <f>VLOOKUP(B12,dict.term!A:G,3,FALSE)&amp;""</f>
        <v/>
      </c>
      <c r="H12" s="24">
        <f>VLOOKUP(B12,dict.term!A:G,4,FALSE)&amp;""</f>
        <v/>
      </c>
      <c r="I12" s="24">
        <f>VLOOKUP(B12,dict.term!A:G,5,FALSE)&amp;""</f>
        <v/>
      </c>
      <c r="J12" s="24">
        <f>VLOOKUP(B12,dict.term!A:G,6,FALSE)&amp;""</f>
        <v/>
      </c>
      <c r="K12" s="24">
        <f>VLOOKUP(B12,dict.term!A:G,7,FALSE)&amp;""</f>
        <v/>
      </c>
      <c r="L12" s="24">
        <f>D12&amp;"/"&amp;F12</f>
        <v/>
      </c>
      <c r="M12" s="24">
        <f>E12&amp;"/"&amp;G12</f>
        <v/>
      </c>
    </row>
    <row r="13" ht="18.75" customHeight="1">
      <c r="A13" s="3" t="inlineStr">
        <is>
          <t>a674a8ef-efa8-9497-4ed4-74de55fafddb</t>
        </is>
      </c>
      <c r="B13" s="3" t="inlineStr">
        <is>
          <t>70c2c751-5404-19b7-4a5e-981e6cebbb15</t>
        </is>
      </c>
      <c r="C13" s="3" t="inlineStr">
        <is>
          <t>sample.specific.metals.name</t>
        </is>
      </c>
      <c r="D13" s="24">
        <f>VLOOKUP(A13,sample.sample_class!A:C,2,FALSE)&amp;""</f>
        <v/>
      </c>
      <c r="E13" s="24">
        <f>VLOOKUP(A13,sample.sample_class!A:C,3,FALSE)&amp;""</f>
        <v/>
      </c>
      <c r="F13" s="24">
        <f>VLOOKUP(B13,dict.term!A:G,2,FALSE)&amp;""</f>
        <v/>
      </c>
      <c r="G13" s="24">
        <f>VLOOKUP(B13,dict.term!A:G,3,FALSE)&amp;""</f>
        <v/>
      </c>
      <c r="H13" s="24">
        <f>VLOOKUP(B13,dict.term!A:G,4,FALSE)&amp;""</f>
        <v/>
      </c>
      <c r="I13" s="24">
        <f>VLOOKUP(B13,dict.term!A:G,5,FALSE)&amp;""</f>
        <v/>
      </c>
      <c r="J13" s="24">
        <f>VLOOKUP(B13,dict.term!A:G,6,FALSE)&amp;""</f>
        <v/>
      </c>
      <c r="K13" s="24">
        <f>VLOOKUP(B13,dict.term!A:G,7,FALSE)&amp;""</f>
        <v/>
      </c>
      <c r="L13" s="24">
        <f>D13&amp;"/"&amp;F13</f>
        <v/>
      </c>
      <c r="M13" s="24">
        <f>E13&amp;"/"&amp;G13</f>
        <v/>
      </c>
    </row>
    <row r="14" ht="18.75" customHeight="1">
      <c r="A14" s="3" t="inlineStr">
        <is>
          <t>a674a8ef-efa8-9497-4ed4-74de55fafddb</t>
        </is>
      </c>
      <c r="B14" s="3" t="inlineStr">
        <is>
          <t>e2d20d02-2e38-2cd3-b1b3-66fdb8a11057</t>
        </is>
      </c>
      <c r="C14" s="3" t="inlineStr">
        <is>
          <t>sample.specific.metals.cas-number</t>
        </is>
      </c>
      <c r="D14" s="24">
        <f>VLOOKUP(A14,sample.sample_class!A:C,2,FALSE)&amp;""</f>
        <v/>
      </c>
      <c r="E14" s="24">
        <f>VLOOKUP(A14,sample.sample_class!A:C,3,FALSE)&amp;""</f>
        <v/>
      </c>
      <c r="F14" s="24">
        <f>VLOOKUP(B14,dict.term!A:G,2,FALSE)&amp;""</f>
        <v/>
      </c>
      <c r="G14" s="24">
        <f>VLOOKUP(B14,dict.term!A:G,3,FALSE)&amp;""</f>
        <v/>
      </c>
      <c r="H14" s="24">
        <f>VLOOKUP(B14,dict.term!A:G,4,FALSE)&amp;""</f>
        <v/>
      </c>
      <c r="I14" s="24">
        <f>VLOOKUP(B14,dict.term!A:G,5,FALSE)&amp;""</f>
        <v/>
      </c>
      <c r="J14" s="24">
        <f>VLOOKUP(B14,dict.term!A:G,6,FALSE)&amp;""</f>
        <v/>
      </c>
      <c r="K14" s="24">
        <f>VLOOKUP(B14,dict.term!A:G,7,FALSE)&amp;""</f>
        <v/>
      </c>
      <c r="L14" s="24">
        <f>D14&amp;"/"&amp;F14</f>
        <v/>
      </c>
      <c r="M14" s="24">
        <f>E14&amp;"/"&amp;G14</f>
        <v/>
      </c>
    </row>
    <row r="15" ht="18.75" customHeight="1">
      <c r="A15" s="3" t="inlineStr">
        <is>
          <t>a674a8ef-efa8-9497-4ed4-74de55fafddb</t>
        </is>
      </c>
      <c r="B15" s="3" t="inlineStr">
        <is>
          <t>f63149a4-e57c-4273-4c1e-dffa41356d28</t>
        </is>
      </c>
      <c r="C15" s="3" t="inlineStr">
        <is>
          <t>sample.specific.metals.space-group</t>
        </is>
      </c>
      <c r="D15" s="24">
        <f>VLOOKUP(A15,sample.sample_class!A:C,2,FALSE)&amp;""</f>
        <v/>
      </c>
      <c r="E15" s="24">
        <f>VLOOKUP(A15,sample.sample_class!A:C,3,FALSE)&amp;""</f>
        <v/>
      </c>
      <c r="F15" s="24">
        <f>VLOOKUP(B15,dict.term!A:G,2,FALSE)&amp;""</f>
        <v/>
      </c>
      <c r="G15" s="24">
        <f>VLOOKUP(B15,dict.term!A:G,3,FALSE)&amp;""</f>
        <v/>
      </c>
      <c r="H15" s="24">
        <f>VLOOKUP(B15,dict.term!A:G,4,FALSE)&amp;""</f>
        <v/>
      </c>
      <c r="I15" s="24">
        <f>VLOOKUP(B15,dict.term!A:G,5,FALSE)&amp;""</f>
        <v/>
      </c>
      <c r="J15" s="24">
        <f>VLOOKUP(B15,dict.term!A:G,6,FALSE)&amp;""</f>
        <v/>
      </c>
      <c r="K15" s="24">
        <f>VLOOKUP(B15,dict.term!A:G,7,FALSE)&amp;""</f>
        <v/>
      </c>
      <c r="L15" s="24">
        <f>D15&amp;"/"&amp;F15</f>
        <v/>
      </c>
      <c r="M15" s="24">
        <f>E15&amp;"/"&amp;G15</f>
        <v/>
      </c>
    </row>
    <row r="16" ht="18.75" customHeight="1">
      <c r="A16" s="3" t="inlineStr">
        <is>
          <t>a674a8ef-efa8-9497-4ed4-74de55fafddb</t>
        </is>
      </c>
      <c r="B16" s="3" t="inlineStr">
        <is>
          <t>efcf34e7-4308-c195-6691-6f4d28ffc9bb</t>
        </is>
      </c>
      <c r="C16" s="3" t="inlineStr">
        <is>
          <t>sample.specific.metals.crystal-structure</t>
        </is>
      </c>
      <c r="D16" s="24">
        <f>VLOOKUP(A16,sample.sample_class!A:C,2,FALSE)&amp;""</f>
        <v/>
      </c>
      <c r="E16" s="24">
        <f>VLOOKUP(A16,sample.sample_class!A:C,3,FALSE)&amp;""</f>
        <v/>
      </c>
      <c r="F16" s="24">
        <f>VLOOKUP(B16,dict.term!A:G,2,FALSE)&amp;""</f>
        <v/>
      </c>
      <c r="G16" s="24">
        <f>VLOOKUP(B16,dict.term!A:G,3,FALSE)&amp;""</f>
        <v/>
      </c>
      <c r="H16" s="24">
        <f>VLOOKUP(B16,dict.term!A:G,4,FALSE)&amp;""</f>
        <v/>
      </c>
      <c r="I16" s="24">
        <f>VLOOKUP(B16,dict.term!A:G,5,FALSE)&amp;""</f>
        <v/>
      </c>
      <c r="J16" s="24">
        <f>VLOOKUP(B16,dict.term!A:G,6,FALSE)&amp;""</f>
        <v/>
      </c>
      <c r="K16" s="24">
        <f>VLOOKUP(B16,dict.term!A:G,7,FALSE)&amp;""</f>
        <v/>
      </c>
      <c r="L16" s="24">
        <f>D16&amp;"/"&amp;F16</f>
        <v/>
      </c>
      <c r="M16" s="24">
        <f>E16&amp;"/"&amp;G16</f>
        <v/>
      </c>
    </row>
    <row r="17" ht="18.75" customHeight="1">
      <c r="A17" s="3" t="inlineStr">
        <is>
          <t>a674a8ef-efa8-9497-4ed4-74de55fafddb</t>
        </is>
      </c>
      <c r="B17" s="3" t="inlineStr">
        <is>
          <t>659da80e-c2ee-2986-41ce-68201b3bc4dd</t>
        </is>
      </c>
      <c r="C17" s="3" t="inlineStr">
        <is>
          <t>sample.specific.metals.boiling-point</t>
        </is>
      </c>
      <c r="D17" s="24">
        <f>VLOOKUP(A17,sample.sample_class!A:C,2,FALSE)&amp;""</f>
        <v/>
      </c>
      <c r="E17" s="24">
        <f>VLOOKUP(A17,sample.sample_class!A:C,3,FALSE)&amp;""</f>
        <v/>
      </c>
      <c r="F17" s="24">
        <f>VLOOKUP(B17,dict.term!A:G,2,FALSE)&amp;""</f>
        <v/>
      </c>
      <c r="G17" s="24">
        <f>VLOOKUP(B17,dict.term!A:G,3,FALSE)&amp;""</f>
        <v/>
      </c>
      <c r="H17" s="24">
        <f>VLOOKUP(B17,dict.term!A:G,4,FALSE)&amp;""</f>
        <v/>
      </c>
      <c r="I17" s="24">
        <f>VLOOKUP(B17,dict.term!A:G,5,FALSE)&amp;""</f>
        <v/>
      </c>
      <c r="J17" s="24">
        <f>VLOOKUP(B17,dict.term!A:G,6,FALSE)&amp;""</f>
        <v/>
      </c>
      <c r="K17" s="24">
        <f>VLOOKUP(B17,dict.term!A:G,7,FALSE)&amp;""</f>
        <v/>
      </c>
      <c r="L17" s="24">
        <f>D17&amp;"/"&amp;F17</f>
        <v/>
      </c>
      <c r="M17" s="24">
        <f>E17&amp;"/"&amp;G17</f>
        <v/>
      </c>
    </row>
    <row r="18" ht="18.75" customHeight="1">
      <c r="A18" s="3" t="inlineStr">
        <is>
          <t>a674a8ef-efa8-9497-4ed4-74de55fafddb</t>
        </is>
      </c>
      <c r="B18" s="3" t="inlineStr">
        <is>
          <t>4efc4c3b-727c-c752-cf28-701b55dba1af</t>
        </is>
      </c>
      <c r="C18" s="3" t="inlineStr">
        <is>
          <t>sample.specific.metals.melting-temperature</t>
        </is>
      </c>
      <c r="D18" s="24">
        <f>VLOOKUP(A18,sample.sample_class!A:C,2,FALSE)&amp;""</f>
        <v/>
      </c>
      <c r="E18" s="24">
        <f>VLOOKUP(A18,sample.sample_class!A:C,3,FALSE)&amp;""</f>
        <v/>
      </c>
      <c r="F18" s="24">
        <f>VLOOKUP(B18,dict.term!A:G,2,FALSE)&amp;""</f>
        <v/>
      </c>
      <c r="G18" s="24">
        <f>VLOOKUP(B18,dict.term!A:G,3,FALSE)&amp;""</f>
        <v/>
      </c>
      <c r="H18" s="24">
        <f>VLOOKUP(B18,dict.term!A:G,4,FALSE)&amp;""</f>
        <v/>
      </c>
      <c r="I18" s="24">
        <f>VLOOKUP(B18,dict.term!A:G,5,FALSE)&amp;""</f>
        <v/>
      </c>
      <c r="J18" s="24">
        <f>VLOOKUP(B18,dict.term!A:G,6,FALSE)&amp;""</f>
        <v/>
      </c>
      <c r="K18" s="24">
        <f>VLOOKUP(B18,dict.term!A:G,7,FALSE)&amp;""</f>
        <v/>
      </c>
      <c r="L18" s="24">
        <f>D18&amp;"/"&amp;F18</f>
        <v/>
      </c>
      <c r="M18" s="24">
        <f>E18&amp;"/"&amp;G18</f>
        <v/>
      </c>
    </row>
    <row r="19" ht="18.75" customHeight="1">
      <c r="A19" s="3" t="inlineStr">
        <is>
          <t>342ba516-4d02-171c-9bc4-70a3134b47a8</t>
        </is>
      </c>
      <c r="B19" s="3" t="inlineStr">
        <is>
          <t>3250c45d-0ed6-1438-43b5-eb679918604a</t>
        </is>
      </c>
      <c r="C19" s="3" t="inlineStr">
        <is>
          <t>sample.specific.polymers.chemical-formula</t>
        </is>
      </c>
      <c r="D19" s="24">
        <f>VLOOKUP(A19,sample.sample_class!A:C,2,FALSE)&amp;""</f>
        <v/>
      </c>
      <c r="E19" s="24">
        <f>VLOOKUP(A19,sample.sample_class!A:C,3,FALSE)&amp;""</f>
        <v/>
      </c>
      <c r="F19" s="24">
        <f>VLOOKUP(B19,dict.term!A:G,2,FALSE)&amp;""</f>
        <v/>
      </c>
      <c r="G19" s="24">
        <f>VLOOKUP(B19,dict.term!A:G,3,FALSE)&amp;""</f>
        <v/>
      </c>
      <c r="H19" s="24">
        <f>VLOOKUP(B19,dict.term!A:G,4,FALSE)&amp;""</f>
        <v/>
      </c>
      <c r="I19" s="24">
        <f>VLOOKUP(B19,dict.term!A:G,5,FALSE)&amp;""</f>
        <v/>
      </c>
      <c r="J19" s="24">
        <f>VLOOKUP(B19,dict.term!A:G,6,FALSE)&amp;""</f>
        <v/>
      </c>
      <c r="K19" s="24">
        <f>VLOOKUP(B19,dict.term!A:G,7,FALSE)&amp;""</f>
        <v/>
      </c>
      <c r="L19" s="24">
        <f>D19&amp;"/"&amp;F19</f>
        <v/>
      </c>
      <c r="M19" s="24">
        <f>E19&amp;"/"&amp;G19</f>
        <v/>
      </c>
    </row>
    <row r="20" ht="18.75" customHeight="1">
      <c r="A20" s="3" t="inlineStr">
        <is>
          <t>342ba516-4d02-171c-9bc4-70a3134b47a8</t>
        </is>
      </c>
      <c r="B20" s="3" t="inlineStr">
        <is>
          <t>70c2c751-5404-19b7-4a5e-981e6cebbb15</t>
        </is>
      </c>
      <c r="C20" s="3" t="inlineStr">
        <is>
          <t>sample.specific.polymers.name</t>
        </is>
      </c>
      <c r="D20" s="24">
        <f>VLOOKUP(A20,sample.sample_class!A:C,2,FALSE)&amp;""</f>
        <v/>
      </c>
      <c r="E20" s="24">
        <f>VLOOKUP(A20,sample.sample_class!A:C,3,FALSE)&amp;""</f>
        <v/>
      </c>
      <c r="F20" s="24">
        <f>VLOOKUP(B20,dict.term!A:G,2,FALSE)&amp;""</f>
        <v/>
      </c>
      <c r="G20" s="24">
        <f>VLOOKUP(B20,dict.term!A:G,3,FALSE)&amp;""</f>
        <v/>
      </c>
      <c r="H20" s="24">
        <f>VLOOKUP(B20,dict.term!A:G,4,FALSE)&amp;""</f>
        <v/>
      </c>
      <c r="I20" s="24">
        <f>VLOOKUP(B20,dict.term!A:G,5,FALSE)&amp;""</f>
        <v/>
      </c>
      <c r="J20" s="24">
        <f>VLOOKUP(B20,dict.term!A:G,6,FALSE)&amp;""</f>
        <v/>
      </c>
      <c r="K20" s="24">
        <f>VLOOKUP(B20,dict.term!A:G,7,FALSE)&amp;""</f>
        <v/>
      </c>
      <c r="L20" s="24">
        <f>D20&amp;"/"&amp;F20</f>
        <v/>
      </c>
      <c r="M20" s="24">
        <f>E20&amp;"/"&amp;G20</f>
        <v/>
      </c>
    </row>
    <row r="21" ht="18.75" customHeight="1">
      <c r="A21" s="3" t="inlineStr">
        <is>
          <t>342ba516-4d02-171c-9bc4-70a3134b47a8</t>
        </is>
      </c>
      <c r="B21" s="3" t="inlineStr">
        <is>
          <t>e2d20d02-2e38-2cd3-b1b3-66fdb8a11057</t>
        </is>
      </c>
      <c r="C21" s="3" t="inlineStr">
        <is>
          <t>sample.specific.polymers.cas-number</t>
        </is>
      </c>
      <c r="D21" s="24">
        <f>VLOOKUP(A21,sample.sample_class!A:C,2,FALSE)&amp;""</f>
        <v/>
      </c>
      <c r="E21" s="24">
        <f>VLOOKUP(A21,sample.sample_class!A:C,3,FALSE)&amp;""</f>
        <v/>
      </c>
      <c r="F21" s="24">
        <f>VLOOKUP(B21,dict.term!A:G,2,FALSE)&amp;""</f>
        <v/>
      </c>
      <c r="G21" s="24">
        <f>VLOOKUP(B21,dict.term!A:G,3,FALSE)&amp;""</f>
        <v/>
      </c>
      <c r="H21" s="24">
        <f>VLOOKUP(B21,dict.term!A:G,4,FALSE)&amp;""</f>
        <v/>
      </c>
      <c r="I21" s="24">
        <f>VLOOKUP(B21,dict.term!A:G,5,FALSE)&amp;""</f>
        <v/>
      </c>
      <c r="J21" s="24">
        <f>VLOOKUP(B21,dict.term!A:G,6,FALSE)&amp;""</f>
        <v/>
      </c>
      <c r="K21" s="24">
        <f>VLOOKUP(B21,dict.term!A:G,7,FALSE)&amp;""</f>
        <v/>
      </c>
      <c r="L21" s="24">
        <f>D21&amp;"/"&amp;F21</f>
        <v/>
      </c>
      <c r="M21" s="24">
        <f>E21&amp;"/"&amp;G21</f>
        <v/>
      </c>
    </row>
    <row r="22" ht="18.75" customHeight="1">
      <c r="A22" s="3" t="inlineStr">
        <is>
          <t>342ba516-4d02-171c-9bc4-70a3134b47a8</t>
        </is>
      </c>
      <c r="B22" s="3" t="inlineStr">
        <is>
          <t>518e26a0-4262-86f5-3598-80e18e6ff2af</t>
        </is>
      </c>
      <c r="C22" s="3" t="inlineStr">
        <is>
          <t>sample.specific.polymers.pubchem</t>
        </is>
      </c>
      <c r="D22" s="24">
        <f>VLOOKUP(A22,sample.sample_class!A:C,2,FALSE)&amp;""</f>
        <v/>
      </c>
      <c r="E22" s="24">
        <f>VLOOKUP(A22,sample.sample_class!A:C,3,FALSE)&amp;""</f>
        <v/>
      </c>
      <c r="F22" s="24">
        <f>VLOOKUP(B22,dict.term!A:G,2,FALSE)&amp;""</f>
        <v/>
      </c>
      <c r="G22" s="24">
        <f>VLOOKUP(B22,dict.term!A:G,3,FALSE)&amp;""</f>
        <v/>
      </c>
      <c r="H22" s="24">
        <f>VLOOKUP(B22,dict.term!A:G,4,FALSE)&amp;""</f>
        <v/>
      </c>
      <c r="I22" s="24">
        <f>VLOOKUP(B22,dict.term!A:G,5,FALSE)&amp;""</f>
        <v/>
      </c>
      <c r="J22" s="24">
        <f>VLOOKUP(B22,dict.term!A:G,6,FALSE)&amp;""</f>
        <v/>
      </c>
      <c r="K22" s="24">
        <f>VLOOKUP(B22,dict.term!A:G,7,FALSE)&amp;""</f>
        <v/>
      </c>
      <c r="L22" s="24">
        <f>D22&amp;"/"&amp;F22</f>
        <v/>
      </c>
      <c r="M22" s="24">
        <f>E22&amp;"/"&amp;G22</f>
        <v/>
      </c>
    </row>
    <row r="23" ht="18.75" customHeight="1">
      <c r="A23" s="3" t="inlineStr">
        <is>
          <t>342ba516-4d02-171c-9bc4-70a3134b47a8</t>
        </is>
      </c>
      <c r="B23" s="3" t="inlineStr">
        <is>
          <t>4efc4c3b-727c-c752-cf28-701b55dba1af</t>
        </is>
      </c>
      <c r="C23" s="3" t="inlineStr">
        <is>
          <t>sample.specific.polymers.melting-temperature</t>
        </is>
      </c>
      <c r="D23" s="24">
        <f>VLOOKUP(A23,sample.sample_class!A:C,2,FALSE)&amp;""</f>
        <v/>
      </c>
      <c r="E23" s="24">
        <f>VLOOKUP(A23,sample.sample_class!A:C,3,FALSE)&amp;""</f>
        <v/>
      </c>
      <c r="F23" s="24">
        <f>VLOOKUP(B23,dict.term!A:G,2,FALSE)&amp;""</f>
        <v/>
      </c>
      <c r="G23" s="24">
        <f>VLOOKUP(B23,dict.term!A:G,3,FALSE)&amp;""</f>
        <v/>
      </c>
      <c r="H23" s="24">
        <f>VLOOKUP(B23,dict.term!A:G,4,FALSE)&amp;""</f>
        <v/>
      </c>
      <c r="I23" s="24">
        <f>VLOOKUP(B23,dict.term!A:G,5,FALSE)&amp;""</f>
        <v/>
      </c>
      <c r="J23" s="24">
        <f>VLOOKUP(B23,dict.term!A:G,6,FALSE)&amp;""</f>
        <v/>
      </c>
      <c r="K23" s="24">
        <f>VLOOKUP(B23,dict.term!A:G,7,FALSE)&amp;""</f>
        <v/>
      </c>
      <c r="L23" s="24">
        <f>D23&amp;"/"&amp;F23</f>
        <v/>
      </c>
      <c r="M23" s="24">
        <f>E23&amp;"/"&amp;G23</f>
        <v/>
      </c>
    </row>
    <row r="24" ht="18.75" customHeight="1">
      <c r="A24" s="3" t="inlineStr">
        <is>
          <t>52148afb-6759-23e8-c8b8-33912ec5bfcf</t>
        </is>
      </c>
      <c r="B24" s="3" t="inlineStr">
        <is>
          <t>70c2c751-5404-19b7-4a5e-981e6cebbb15</t>
        </is>
      </c>
      <c r="C24" s="3" t="inlineStr">
        <is>
          <t>sample.specific.semiconductors.name</t>
        </is>
      </c>
      <c r="D24" s="24">
        <f>VLOOKUP(A24,sample.sample_class!A:C,2,FALSE)&amp;""</f>
        <v/>
      </c>
      <c r="E24" s="24">
        <f>VLOOKUP(A24,sample.sample_class!A:C,3,FALSE)&amp;""</f>
        <v/>
      </c>
      <c r="F24" s="24">
        <f>VLOOKUP(B24,dict.term!A:G,2,FALSE)&amp;""</f>
        <v/>
      </c>
      <c r="G24" s="24">
        <f>VLOOKUP(B24,dict.term!A:G,3,FALSE)&amp;""</f>
        <v/>
      </c>
      <c r="H24" s="24">
        <f>VLOOKUP(B24,dict.term!A:G,4,FALSE)&amp;""</f>
        <v/>
      </c>
      <c r="I24" s="24">
        <f>VLOOKUP(B24,dict.term!A:G,5,FALSE)&amp;""</f>
        <v/>
      </c>
      <c r="J24" s="24">
        <f>VLOOKUP(B24,dict.term!A:G,6,FALSE)&amp;""</f>
        <v/>
      </c>
      <c r="K24" s="24">
        <f>VLOOKUP(B24,dict.term!A:G,7,FALSE)&amp;""</f>
        <v/>
      </c>
      <c r="L24" s="24">
        <f>D24&amp;"/"&amp;F24</f>
        <v/>
      </c>
      <c r="M24" s="24">
        <f>E24&amp;"/"&amp;G24</f>
        <v/>
      </c>
    </row>
    <row r="25" ht="18.75" customHeight="1">
      <c r="A25" s="3" t="inlineStr">
        <is>
          <t>961c9637-9b83-0e9d-e60e-ffc1e2517afd</t>
        </is>
      </c>
      <c r="B25" s="3" t="inlineStr">
        <is>
          <t>70c2c751-5404-19b7-4a5e-981e6cebbb15</t>
        </is>
      </c>
      <c r="C25" s="3" t="inlineStr">
        <is>
          <t>sample.specific.ceramics.name</t>
        </is>
      </c>
      <c r="D25" s="24">
        <f>VLOOKUP(A25,sample.sample_class!A:C,2,FALSE)&amp;""</f>
        <v/>
      </c>
      <c r="E25" s="24">
        <f>VLOOKUP(A25,sample.sample_class!A:C,3,FALSE)&amp;""</f>
        <v/>
      </c>
      <c r="F25" s="24">
        <f>VLOOKUP(B25,dict.term!A:G,2,FALSE)&amp;""</f>
        <v/>
      </c>
      <c r="G25" s="24">
        <f>VLOOKUP(B25,dict.term!A:G,3,FALSE)&amp;""</f>
        <v/>
      </c>
      <c r="H25" s="24">
        <f>VLOOKUP(B25,dict.term!A:G,4,FALSE)&amp;""</f>
        <v/>
      </c>
      <c r="I25" s="24">
        <f>VLOOKUP(B25,dict.term!A:G,5,FALSE)&amp;""</f>
        <v/>
      </c>
      <c r="J25" s="24">
        <f>VLOOKUP(B25,dict.term!A:G,6,FALSE)&amp;""</f>
        <v/>
      </c>
      <c r="K25" s="24">
        <f>VLOOKUP(B25,dict.term!A:G,7,FALSE)&amp;""</f>
        <v/>
      </c>
      <c r="L25" s="24">
        <f>D25&amp;"/"&amp;F25</f>
        <v/>
      </c>
      <c r="M25" s="24">
        <f>E25&amp;"/"&amp;G25</f>
        <v/>
      </c>
    </row>
    <row r="26" ht="18.75" customHeight="1">
      <c r="A26" s="3" t="inlineStr">
        <is>
          <t>0dde5969-3039-739b-b33b-97df40450790</t>
        </is>
      </c>
      <c r="B26" s="3" t="inlineStr">
        <is>
          <t>70c2c751-5404-19b7-4a5e-981e6cebbb15</t>
        </is>
      </c>
      <c r="C26" s="3" t="inlineStr">
        <is>
          <t>sample.specific.biological.name</t>
        </is>
      </c>
      <c r="D26" s="24">
        <f>VLOOKUP(A26,sample.sample_class!A:C,2,FALSE)&amp;""</f>
        <v/>
      </c>
      <c r="E26" s="24">
        <f>VLOOKUP(A26,sample.sample_class!A:C,3,FALSE)&amp;""</f>
        <v/>
      </c>
      <c r="F26" s="24">
        <f>VLOOKUP(B26,dict.term!A:G,2,FALSE)&amp;""</f>
        <v/>
      </c>
      <c r="G26" s="24">
        <f>VLOOKUP(B26,dict.term!A:G,3,FALSE)&amp;""</f>
        <v/>
      </c>
      <c r="H26" s="24">
        <f>VLOOKUP(B26,dict.term!A:G,4,FALSE)&amp;""</f>
        <v/>
      </c>
      <c r="I26" s="24">
        <f>VLOOKUP(B26,dict.term!A:G,5,FALSE)&amp;""</f>
        <v/>
      </c>
      <c r="J26" s="24">
        <f>VLOOKUP(B26,dict.term!A:G,6,FALSE)&amp;""</f>
        <v/>
      </c>
      <c r="K26" s="24">
        <f>VLOOKUP(B26,dict.term!A:G,7,FALSE)&amp;""</f>
        <v/>
      </c>
      <c r="L26" s="24">
        <f>D26&amp;"/"&amp;F26</f>
        <v/>
      </c>
      <c r="M26" s="24">
        <f>E26&amp;"/"&amp;G26</f>
        <v/>
      </c>
    </row>
    <row r="27" ht="18.75" customHeight="1">
      <c r="A27" s="3" t="inlineStr">
        <is>
          <t>01cb3c01-37a4-5a43-d8ca-f523ca99a75b</t>
        </is>
      </c>
      <c r="B27" s="3" t="inlineStr">
        <is>
          <t>dc27a956-263e-f920-e574-5beec912a247</t>
        </is>
      </c>
      <c r="C27" s="3" t="inlineStr">
        <is>
          <t>sample.specific.organic-material.molecular-weight</t>
        </is>
      </c>
      <c r="D27" s="24">
        <f>VLOOKUP(A27,sample.sample_class!A:C,2,FALSE)&amp;""</f>
        <v/>
      </c>
      <c r="E27" s="24">
        <f>VLOOKUP(A27,sample.sample_class!A:C,3,FALSE)&amp;""</f>
        <v/>
      </c>
      <c r="F27" s="24">
        <f>VLOOKUP(B27,dict.term!A:G,2,FALSE)&amp;""</f>
        <v/>
      </c>
      <c r="G27" s="24">
        <f>VLOOKUP(B27,dict.term!A:G,3,FALSE)&amp;""</f>
        <v/>
      </c>
      <c r="H27" s="24">
        <f>VLOOKUP(B27,dict.term!A:G,4,FALSE)&amp;""</f>
        <v/>
      </c>
      <c r="I27" s="24">
        <f>VLOOKUP(B27,dict.term!A:G,5,FALSE)&amp;""</f>
        <v/>
      </c>
      <c r="J27" s="24">
        <f>VLOOKUP(B27,dict.term!A:G,6,FALSE)&amp;""</f>
        <v/>
      </c>
      <c r="K27" s="24">
        <f>VLOOKUP(B27,dict.term!A:G,7,FALSE)&amp;""</f>
        <v/>
      </c>
      <c r="L27" s="24">
        <f>D27&amp;"/"&amp;F27</f>
        <v/>
      </c>
      <c r="M27" s="24">
        <f>E27&amp;"/"&amp;G27</f>
        <v/>
      </c>
    </row>
    <row r="28" ht="18.75" customHeight="1">
      <c r="A28" s="3" t="inlineStr">
        <is>
          <t>01cb3c01-37a4-5a43-d8ca-f523ca99a75b</t>
        </is>
      </c>
      <c r="B28" s="3" t="inlineStr">
        <is>
          <t>efc6a0d5-313e-1871-190c-baaff7d1bf6c</t>
        </is>
      </c>
      <c r="C28" s="3" t="inlineStr">
        <is>
          <t>sample.specific.organic-material.SMILES-String</t>
        </is>
      </c>
      <c r="D28" s="24">
        <f>VLOOKUP(A28,sample.sample_class!A:C,2,FALSE)&amp;""</f>
        <v/>
      </c>
      <c r="E28" s="24">
        <f>VLOOKUP(A28,sample.sample_class!A:C,3,FALSE)&amp;""</f>
        <v/>
      </c>
      <c r="F28" s="24">
        <f>VLOOKUP(B28,dict.term!A:G,2,FALSE)&amp;""</f>
        <v/>
      </c>
      <c r="G28" s="24">
        <f>VLOOKUP(B28,dict.term!A:G,3,FALSE)&amp;""</f>
        <v/>
      </c>
      <c r="H28" s="24">
        <f>VLOOKUP(B28,dict.term!A:G,4,FALSE)&amp;""</f>
        <v/>
      </c>
      <c r="I28" s="24">
        <f>VLOOKUP(B28,dict.term!A:G,5,FALSE)&amp;""</f>
        <v/>
      </c>
      <c r="J28" s="24">
        <f>VLOOKUP(B28,dict.term!A:G,6,FALSE)&amp;""</f>
        <v/>
      </c>
      <c r="K28" s="24">
        <f>VLOOKUP(B28,dict.term!A:G,7,FALSE)&amp;""</f>
        <v/>
      </c>
      <c r="L28" s="24">
        <f>D28&amp;"/"&amp;F28</f>
        <v/>
      </c>
      <c r="M28" s="24">
        <f>E28&amp;"/"&amp;G28</f>
        <v/>
      </c>
    </row>
    <row r="29" ht="18.75" customHeight="1">
      <c r="A29" s="3" t="inlineStr">
        <is>
          <t>0dde5969-3039-739b-b33b-97df40450790</t>
        </is>
      </c>
      <c r="B29" s="3" t="inlineStr">
        <is>
          <t>0444cf53-db47-b208-7b5f-54429291a140</t>
        </is>
      </c>
      <c r="C29" s="3" t="inlineStr">
        <is>
          <t>sample.specific.biological.sample-type</t>
        </is>
      </c>
      <c r="D29" s="24">
        <f>VLOOKUP(A29,sample.sample_class!A:C,2,FALSE)&amp;""</f>
        <v/>
      </c>
      <c r="E29" s="24">
        <f>VLOOKUP(A29,sample.sample_class!A:C,3,FALSE)&amp;""</f>
        <v/>
      </c>
      <c r="F29" s="24">
        <f>VLOOKUP(B29,dict.term!A:G,2,FALSE)&amp;""</f>
        <v/>
      </c>
      <c r="G29" s="24">
        <f>VLOOKUP(B29,dict.term!A:G,3,FALSE)&amp;""</f>
        <v/>
      </c>
      <c r="H29" s="24">
        <f>VLOOKUP(B29,dict.term!A:G,4,FALSE)&amp;""</f>
        <v/>
      </c>
      <c r="I29" s="24">
        <f>VLOOKUP(B29,dict.term!A:G,5,FALSE)&amp;""</f>
        <v/>
      </c>
      <c r="J29" s="24">
        <f>VLOOKUP(B29,dict.term!A:G,6,FALSE)&amp;""</f>
        <v/>
      </c>
      <c r="K29" s="24">
        <f>VLOOKUP(B29,dict.term!A:G,7,FALSE)&amp;""</f>
        <v/>
      </c>
      <c r="L29" s="24">
        <f>D29&amp;"/"&amp;F29</f>
        <v/>
      </c>
      <c r="M29" s="24">
        <f>E29&amp;"/"&amp;G29</f>
        <v/>
      </c>
    </row>
    <row r="30" ht="18.75" customHeight="1">
      <c r="A30" s="3" t="inlineStr">
        <is>
          <t>0dde5969-3039-739b-b33b-97df40450790</t>
        </is>
      </c>
      <c r="B30" s="3" t="inlineStr">
        <is>
          <t>fc30c31d-12a3-591a-c837-4f06ab458de0</t>
        </is>
      </c>
      <c r="C30" s="3" t="inlineStr">
        <is>
          <t>sample.specific.biological.taxonomy</t>
        </is>
      </c>
      <c r="D30" s="24">
        <f>VLOOKUP(A30,sample.sample_class!A:C,2,FALSE)&amp;""</f>
        <v/>
      </c>
      <c r="E30" s="24">
        <f>VLOOKUP(A30,sample.sample_class!A:C,3,FALSE)&amp;""</f>
        <v/>
      </c>
      <c r="F30" s="24">
        <f>VLOOKUP(B30,dict.term!A:G,2,FALSE)&amp;""</f>
        <v/>
      </c>
      <c r="G30" s="24">
        <f>VLOOKUP(B30,dict.term!A:G,3,FALSE)&amp;""</f>
        <v/>
      </c>
      <c r="H30" s="24">
        <f>VLOOKUP(B30,dict.term!A:G,4,FALSE)&amp;""</f>
        <v/>
      </c>
      <c r="I30" s="24">
        <f>VLOOKUP(B30,dict.term!A:G,5,FALSE)&amp;""</f>
        <v/>
      </c>
      <c r="J30" s="24">
        <f>VLOOKUP(B30,dict.term!A:G,6,FALSE)&amp;""</f>
        <v/>
      </c>
      <c r="K30" s="24">
        <f>VLOOKUP(B30,dict.term!A:G,7,FALSE)&amp;""</f>
        <v/>
      </c>
      <c r="L30" s="24">
        <f>D30&amp;"/"&amp;F30</f>
        <v/>
      </c>
      <c r="M30" s="24">
        <f>E30&amp;"/"&amp;G30</f>
        <v/>
      </c>
    </row>
    <row r="31" ht="18.75" customHeight="1">
      <c r="A31" s="3" t="inlineStr">
        <is>
          <t>0dde5969-3039-739b-b33b-97df40450790</t>
        </is>
      </c>
      <c r="B31" s="3" t="inlineStr">
        <is>
          <t>9a23002a-c398-e521-081a-24b6cd32dbbd</t>
        </is>
      </c>
      <c r="C31" s="3" t="inlineStr">
        <is>
          <t>sample.specific.biological.cell-line</t>
        </is>
      </c>
      <c r="D31" s="24">
        <f>VLOOKUP(A31,sample.sample_class!A:C,2,FALSE)&amp;""</f>
        <v/>
      </c>
      <c r="E31" s="24">
        <f>VLOOKUP(A31,sample.sample_class!A:C,3,FALSE)&amp;""</f>
        <v/>
      </c>
      <c r="F31" s="24">
        <f>VLOOKUP(B31,dict.term!A:G,2,FALSE)&amp;""</f>
        <v/>
      </c>
      <c r="G31" s="24">
        <f>VLOOKUP(B31,dict.term!A:G,3,FALSE)&amp;""</f>
        <v/>
      </c>
      <c r="H31" s="24">
        <f>VLOOKUP(B31,dict.term!A:G,4,FALSE)&amp;""</f>
        <v/>
      </c>
      <c r="I31" s="24">
        <f>VLOOKUP(B31,dict.term!A:G,5,FALSE)&amp;""</f>
        <v/>
      </c>
      <c r="J31" s="24">
        <f>VLOOKUP(B31,dict.term!A:G,6,FALSE)&amp;""</f>
        <v/>
      </c>
      <c r="K31" s="24">
        <f>VLOOKUP(B31,dict.term!A:G,7,FALSE)&amp;""</f>
        <v/>
      </c>
      <c r="L31" s="24">
        <f>D31&amp;"/"&amp;F31</f>
        <v/>
      </c>
      <c r="M31" s="24">
        <f>E31&amp;"/"&amp;G31</f>
        <v/>
      </c>
    </row>
    <row r="32" ht="18.75" customHeight="1">
      <c r="A32" s="3" t="inlineStr">
        <is>
          <t>0dde5969-3039-739b-b33b-97df40450790</t>
        </is>
      </c>
      <c r="B32" s="3" t="inlineStr">
        <is>
          <t>b4ce4016-e2bf-e5a1-7cae-ed496c7a776f</t>
        </is>
      </c>
      <c r="C32" s="3" t="inlineStr">
        <is>
          <t>sample.specific.biological.protein-name</t>
        </is>
      </c>
      <c r="D32" s="24">
        <f>VLOOKUP(A32,sample.sample_class!A:C,2,FALSE)&amp;""</f>
        <v/>
      </c>
      <c r="E32" s="24">
        <f>VLOOKUP(A32,sample.sample_class!A:C,3,FALSE)&amp;""</f>
        <v/>
      </c>
      <c r="F32" s="24">
        <f>VLOOKUP(B32,dict.term!A:G,2,FALSE)&amp;""</f>
        <v/>
      </c>
      <c r="G32" s="24">
        <f>VLOOKUP(B32,dict.term!A:G,3,FALSE)&amp;""</f>
        <v/>
      </c>
      <c r="H32" s="24">
        <f>VLOOKUP(B32,dict.term!A:G,4,FALSE)&amp;""</f>
        <v/>
      </c>
      <c r="I32" s="24">
        <f>VLOOKUP(B32,dict.term!A:G,5,FALSE)&amp;""</f>
        <v/>
      </c>
      <c r="J32" s="24">
        <f>VLOOKUP(B32,dict.term!A:G,6,FALSE)&amp;""</f>
        <v/>
      </c>
      <c r="K32" s="24">
        <f>VLOOKUP(B32,dict.term!A:G,7,FALSE)&amp;""</f>
        <v/>
      </c>
      <c r="L32" s="24">
        <f>D32&amp;"/"&amp;F32</f>
        <v/>
      </c>
      <c r="M32" s="24">
        <f>E32&amp;"/"&amp;G32</f>
        <v/>
      </c>
    </row>
    <row r="33" ht="18.75" customHeight="1">
      <c r="A33" s="3" t="inlineStr">
        <is>
          <t>0dde5969-3039-739b-b33b-97df40450790</t>
        </is>
      </c>
      <c r="B33" s="3" t="inlineStr">
        <is>
          <t>8c9b1a88-1530-24d3-4b2e-5441eee5c24f</t>
        </is>
      </c>
      <c r="C33" s="3" t="inlineStr">
        <is>
          <t>sample.specific.biological.gene-name</t>
        </is>
      </c>
      <c r="D33" s="24">
        <f>VLOOKUP(A33,sample.sample_class!A:C,2,FALSE)&amp;""</f>
        <v/>
      </c>
      <c r="E33" s="24">
        <f>VLOOKUP(A33,sample.sample_class!A:C,3,FALSE)&amp;""</f>
        <v/>
      </c>
      <c r="F33" s="24">
        <f>VLOOKUP(B33,dict.term!A:G,2,FALSE)&amp;""</f>
        <v/>
      </c>
      <c r="G33" s="24">
        <f>VLOOKUP(B33,dict.term!A:G,3,FALSE)&amp;""</f>
        <v/>
      </c>
      <c r="H33" s="24">
        <f>VLOOKUP(B33,dict.term!A:G,4,FALSE)&amp;""</f>
        <v/>
      </c>
      <c r="I33" s="24">
        <f>VLOOKUP(B33,dict.term!A:G,5,FALSE)&amp;""</f>
        <v/>
      </c>
      <c r="J33" s="24">
        <f>VLOOKUP(B33,dict.term!A:G,6,FALSE)&amp;""</f>
        <v/>
      </c>
      <c r="K33" s="24">
        <f>VLOOKUP(B33,dict.term!A:G,7,FALSE)&amp;""</f>
        <v/>
      </c>
      <c r="L33" s="24">
        <f>D33&amp;"/"&amp;F33</f>
        <v/>
      </c>
      <c r="M33" s="24">
        <f>E33&amp;"/"&amp;G33</f>
        <v/>
      </c>
    </row>
    <row r="34" ht="18.75" customHeight="1">
      <c r="A34" s="3" t="inlineStr">
        <is>
          <t>0dde5969-3039-739b-b33b-97df40450790</t>
        </is>
      </c>
      <c r="B34" s="3" t="inlineStr">
        <is>
          <t>047e30f3-f294-e58d-cbe4-6bb588bf4cf8</t>
        </is>
      </c>
      <c r="C34" s="3" t="inlineStr">
        <is>
          <t>sample.specific.biological.ncbi-accession-number</t>
        </is>
      </c>
      <c r="D34" s="24">
        <f>VLOOKUP(A34,sample.sample_class!A:C,2,FALSE)&amp;""</f>
        <v/>
      </c>
      <c r="E34" s="24">
        <f>VLOOKUP(A34,sample.sample_class!A:C,3,FALSE)&amp;""</f>
        <v/>
      </c>
      <c r="F34" s="24">
        <f>VLOOKUP(B34,dict.term!A:G,2,FALSE)&amp;""</f>
        <v/>
      </c>
      <c r="G34" s="24">
        <f>VLOOKUP(B34,dict.term!A:G,3,FALSE)&amp;""</f>
        <v/>
      </c>
      <c r="H34" s="24">
        <f>VLOOKUP(B34,dict.term!A:G,4,FALSE)&amp;""</f>
        <v/>
      </c>
      <c r="I34" s="24">
        <f>VLOOKUP(B34,dict.term!A:G,5,FALSE)&amp;""</f>
        <v/>
      </c>
      <c r="J34" s="24">
        <f>VLOOKUP(B34,dict.term!A:G,6,FALSE)&amp;""</f>
        <v/>
      </c>
      <c r="K34" s="24">
        <f>VLOOKUP(B34,dict.term!A:G,7,FALSE)&amp;""</f>
        <v/>
      </c>
      <c r="L34" s="24">
        <f>D34&amp;"/"&amp;F34</f>
        <v/>
      </c>
      <c r="M34" s="24">
        <f>E34&amp;"/"&amp;G34</f>
        <v/>
      </c>
    </row>
    <row r="35" ht="18.75" customHeight="1">
      <c r="A35" s="3" t="inlineStr">
        <is>
          <t>01cb3c01-37a4-5a43-d8ca-f523ca99a75b</t>
        </is>
      </c>
      <c r="B35" s="3" t="inlineStr">
        <is>
          <t>9270879d-d94e-4d3f-2d5c-19568e040004</t>
        </is>
      </c>
      <c r="C35" s="3" t="inlineStr">
        <is>
          <t>sample.specific.organic-material.inchi</t>
        </is>
      </c>
      <c r="D35" s="24">
        <f>VLOOKUP(A35,sample.sample_class!A:C,2,FALSE)&amp;""</f>
        <v/>
      </c>
      <c r="E35" s="24">
        <f>VLOOKUP(A35,sample.sample_class!A:C,3,FALSE)&amp;""</f>
        <v/>
      </c>
      <c r="F35" s="24">
        <f>VLOOKUP(B35,dict.term!A:G,2,FALSE)&amp;""</f>
        <v/>
      </c>
      <c r="G35" s="24">
        <f>VLOOKUP(B35,dict.term!A:G,3,FALSE)&amp;""</f>
        <v/>
      </c>
      <c r="H35" s="24">
        <f>VLOOKUP(B35,dict.term!A:G,4,FALSE)&amp;""</f>
        <v/>
      </c>
      <c r="I35" s="24">
        <f>VLOOKUP(B35,dict.term!A:G,5,FALSE)&amp;""</f>
        <v/>
      </c>
      <c r="J35" s="24">
        <f>VLOOKUP(B35,dict.term!A:G,6,FALSE)&amp;""</f>
        <v/>
      </c>
      <c r="K35" s="24">
        <f>VLOOKUP(B35,dict.term!A:G,7,FALSE)&amp;""</f>
        <v/>
      </c>
      <c r="L35" s="24">
        <f>D35&amp;"/"&amp;F35</f>
        <v/>
      </c>
      <c r="M35" s="24">
        <f>E35&amp;"/"&amp;G35</f>
        <v/>
      </c>
    </row>
    <row r="36" ht="18.75" customHeight="1">
      <c r="A36" s="3" t="inlineStr">
        <is>
          <t>01cb3c01-37a4-5a43-d8ca-f523ca99a75b</t>
        </is>
      </c>
      <c r="B36" s="3" t="inlineStr">
        <is>
          <t>3edadcff-8a85-51d9-708f-8f76bf055377</t>
        </is>
      </c>
      <c r="C36" s="3" t="inlineStr">
        <is>
          <t>sample.specific.organic-material.inchi-key</t>
        </is>
      </c>
      <c r="D36" s="24">
        <f>VLOOKUP(A36,sample.sample_class!A:C,2,FALSE)&amp;""</f>
        <v/>
      </c>
      <c r="E36" s="24">
        <f>VLOOKUP(A36,sample.sample_class!A:C,3,FALSE)&amp;""</f>
        <v/>
      </c>
      <c r="F36" s="24">
        <f>VLOOKUP(B36,dict.term!A:G,2,FALSE)&amp;""</f>
        <v/>
      </c>
      <c r="G36" s="24">
        <f>VLOOKUP(B36,dict.term!A:G,3,FALSE)&amp;""</f>
        <v/>
      </c>
      <c r="H36" s="24">
        <f>VLOOKUP(B36,dict.term!A:G,4,FALSE)&amp;""</f>
        <v/>
      </c>
      <c r="I36" s="24">
        <f>VLOOKUP(B36,dict.term!A:G,5,FALSE)&amp;""</f>
        <v/>
      </c>
      <c r="J36" s="24">
        <f>VLOOKUP(B36,dict.term!A:G,6,FALSE)&amp;""</f>
        <v/>
      </c>
      <c r="K36" s="24">
        <f>VLOOKUP(B36,dict.term!A:G,7,FALSE)&amp;""</f>
        <v/>
      </c>
      <c r="L36" s="24">
        <f>D36&amp;"/"&amp;F36</f>
        <v/>
      </c>
      <c r="M36" s="24">
        <f>E36&amp;"/"&amp;G36</f>
        <v/>
      </c>
    </row>
    <row r="37" ht="18.75" customHeight="1"/>
    <row r="38" ht="18.75" customHeight="1"/>
    <row r="39" ht="18.75" customHeight="1"/>
    <row r="40" ht="18.75" customHeight="1"/>
    <row r="41" ht="18.75" customHeight="1"/>
    <row r="42" ht="18.75" customHeight="1"/>
    <row r="43" ht="18.75" customHeight="1"/>
    <row r="44" ht="18.75" customHeight="1"/>
    <row r="45" ht="18.75" customHeight="1"/>
    <row r="46" ht="18.75" customHeight="1"/>
    <row r="47" ht="18.75" customHeight="1"/>
    <row r="48" ht="18.75" customHeight="1"/>
    <row r="49" ht="18.75" customHeight="1"/>
    <row r="50" ht="18.75" customHeight="1"/>
    <row r="51" ht="18.75" customHeight="1"/>
    <row r="52" ht="18.75" customHeight="1"/>
    <row r="53" ht="18.75" customHeight="1"/>
    <row r="54" ht="18.75" customHeight="1"/>
    <row r="55" ht="18.75" customHeight="1"/>
    <row r="56" ht="18.75" customHeight="1"/>
    <row r="57" ht="18.75" customHeight="1"/>
    <row r="58" ht="18.75" customHeight="1"/>
    <row r="59" ht="18.75" customHeight="1"/>
    <row r="60" ht="18.75" customHeight="1"/>
    <row r="61" ht="18.75" customHeight="1"/>
    <row r="62" ht="18.75" customHeight="1"/>
    <row r="63" ht="18.75" customHeight="1"/>
    <row r="64" ht="18.75" customHeight="1"/>
    <row r="65" ht="18.75" customHeight="1"/>
    <row r="66" ht="18.75" customHeight="1"/>
    <row r="67" ht="18.75" customHeight="1"/>
    <row r="68" ht="18.75" customHeight="1"/>
    <row r="69" ht="18.75" customHeight="1"/>
    <row r="70" ht="18.75" customHeight="1"/>
    <row r="71" ht="18.75" customHeight="1"/>
    <row r="72" ht="18.75" customHeight="1"/>
    <row r="73" ht="18.75" customHeight="1"/>
    <row r="74" ht="18.75" customHeight="1"/>
    <row r="75" ht="18.75" customHeight="1"/>
    <row r="76" ht="18.75" customHeight="1"/>
    <row r="77" ht="18.75" customHeight="1"/>
    <row r="78" ht="18.75" customHeight="1"/>
    <row r="79" ht="18.75" customHeight="1"/>
    <row r="80" ht="18.75" customHeight="1"/>
    <row r="81" ht="18.75" customHeight="1"/>
    <row r="82" ht="18.75" customHeight="1"/>
    <row r="83" ht="18.75" customHeight="1"/>
    <row r="84" ht="18.75" customHeight="1"/>
    <row r="85" ht="18.75" customHeight="1"/>
    <row r="86" ht="18.75" customHeight="1"/>
    <row r="87" ht="18.75" customHeight="1"/>
    <row r="88" ht="18.75" customHeight="1"/>
    <row r="89" ht="18.75" customHeight="1"/>
    <row r="90" ht="18.75" customHeight="1"/>
    <row r="91" ht="18.75" customHeight="1"/>
    <row r="92" ht="18.75" customHeight="1"/>
    <row r="93" ht="18.75" customHeight="1"/>
    <row r="94" ht="18.75" customHeight="1"/>
    <row r="95" ht="18.75" customHeight="1"/>
    <row r="96" ht="18.75" customHeight="1"/>
    <row r="97" ht="18.75" customHeight="1"/>
    <row r="98" ht="18.75" customHeight="1"/>
    <row r="99" ht="18.75" customHeight="1"/>
    <row r="100" ht="18.75" customHeight="1"/>
    <row r="101" ht="18.75" customHeight="1"/>
    <row r="102" ht="18.75" customHeight="1"/>
    <row r="103" ht="18.75" customHeight="1"/>
    <row r="104" ht="18.75" customHeight="1"/>
    <row r="105" ht="18.75" customHeight="1"/>
    <row r="106" ht="18.75" customHeight="1"/>
    <row r="107" ht="18.75" customHeight="1"/>
    <row r="108" ht="18.75" customHeight="1"/>
    <row r="109" ht="18.75" customHeight="1"/>
    <row r="110" ht="18.75" customHeight="1"/>
    <row r="111" ht="18.75" customHeight="1"/>
    <row r="112" ht="18.75" customHeight="1"/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  <row r="141" ht="18.75" customHeight="1"/>
    <row r="142" ht="18.75" customHeight="1"/>
    <row r="143" ht="18.75" customHeight="1"/>
    <row r="144" ht="18.75" customHeight="1"/>
    <row r="145" ht="18.75" customHeight="1"/>
    <row r="146" ht="18.75" customHeight="1"/>
    <row r="147" ht="18.75" customHeight="1"/>
    <row r="148" ht="18.75" customHeight="1"/>
    <row r="149" ht="18.75" customHeight="1"/>
    <row r="150" ht="18.75" customHeight="1"/>
    <row r="151" ht="18.75" customHeight="1"/>
    <row r="152" ht="18.75" customHeight="1"/>
    <row r="153" ht="18.75" customHeight="1"/>
    <row r="154" ht="18.75" customHeight="1"/>
    <row r="155" ht="18.75" customHeight="1"/>
    <row r="156" ht="18.75" customHeight="1"/>
    <row r="157" ht="18.75" customHeight="1"/>
    <row r="158" ht="18.75" customHeight="1"/>
    <row r="159" ht="18.75" customHeight="1"/>
    <row r="160" ht="18.75" customHeight="1"/>
    <row r="161" ht="18.75" customHeight="1"/>
    <row r="162" ht="18.75" customHeight="1"/>
    <row r="163" ht="18.75" customHeight="1"/>
    <row r="164" ht="18.75" customHeight="1"/>
    <row r="165" ht="18.75" customHeight="1"/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  <row r="951" ht="18.75" customHeight="1"/>
    <row r="952" ht="18.75" customHeight="1"/>
    <row r="953" ht="18.75" customHeight="1"/>
    <row r="954" ht="18.75" customHeight="1"/>
    <row r="955" ht="18.75" customHeight="1"/>
    <row r="956" ht="18.75" customHeight="1"/>
    <row r="957" ht="18.75" customHeight="1"/>
    <row r="958" ht="18.75" customHeight="1"/>
    <row r="959" ht="18.75" customHeight="1"/>
    <row r="960" ht="18.75" customHeight="1"/>
    <row r="961" ht="18.75" customHeight="1"/>
    <row r="962" ht="18.75" customHeight="1"/>
    <row r="963" ht="18.75" customHeight="1"/>
    <row r="964" ht="18.75" customHeight="1"/>
    <row r="965" ht="18.75" customHeight="1"/>
    <row r="966" ht="18.75" customHeight="1"/>
    <row r="967" ht="18.75" customHeight="1"/>
    <row r="968" ht="18.75" customHeight="1"/>
    <row r="969" ht="18.75" customHeight="1"/>
    <row r="970" ht="18.75" customHeight="1"/>
    <row r="971" ht="18.75" customHeight="1"/>
    <row r="972" ht="18.75" customHeight="1"/>
    <row r="973" ht="18.75" customHeight="1"/>
    <row r="974" ht="18.75" customHeight="1"/>
    <row r="975" ht="18.75" customHeight="1"/>
    <row r="976" ht="18.75" customHeight="1"/>
    <row r="977" ht="18.75" customHeight="1"/>
    <row r="978" ht="18.75" customHeight="1"/>
    <row r="979" ht="18.75" customHeight="1"/>
    <row r="980" ht="18.75" customHeight="1"/>
    <row r="981" ht="18.75" customHeight="1"/>
    <row r="982" ht="18.75" customHeight="1"/>
    <row r="983" ht="18.75" customHeight="1"/>
    <row r="984" ht="18.75" customHeight="1"/>
    <row r="985" ht="18.75" customHeight="1"/>
    <row r="986" ht="18.75" customHeight="1"/>
    <row r="987" ht="18.75" customHeight="1"/>
    <row r="988" ht="18.75" customHeight="1"/>
    <row r="989" ht="18.75" customHeight="1"/>
    <row r="990" ht="18.75" customHeight="1"/>
    <row r="991" ht="18.75" customHeight="1"/>
    <row r="992" ht="18.75" customHeight="1"/>
    <row r="993" ht="18.75" customHeight="1"/>
    <row r="994" ht="18.75" customHeight="1"/>
    <row r="995" ht="18.75" customHeight="1"/>
    <row r="996" ht="18.75" customHeight="1"/>
    <row r="997" ht="18.75" customHeight="1"/>
    <row r="998" ht="18.75" customHeight="1"/>
    <row r="999" ht="18.75" customHeight="1"/>
    <row r="1000" ht="18.7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2026-03-03T01:16:59Z</dcterms:created>
  <dcterms:modified xsi:type="dcterms:W3CDTF">2026-03-03T01:16:59Z</dcterms:modified>
</cp:coreProperties>
</file>