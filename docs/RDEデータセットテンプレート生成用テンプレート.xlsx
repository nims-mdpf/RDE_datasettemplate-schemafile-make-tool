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rde_template_tools/excel2template/"/>
    </mc:Choice>
  </mc:AlternateContent>
  <xr:revisionPtr revIDLastSave="0" documentId="13_ncr:1_{6110B1B1-1C4B-6E45-A7B5-431C5F694493}" xr6:coauthVersionLast="47" xr6:coauthVersionMax="47" xr10:uidLastSave="{00000000-0000-0000-0000-000000000000}"/>
  <bookViews>
    <workbookView xWindow="1600" yWindow="2060" windowWidth="302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8" l="1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B2" i="7"/>
  <c r="B2" i="8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D34" i="8"/>
  <c r="V36" i="8"/>
  <c r="U37" i="8"/>
  <c r="G40" i="8"/>
  <c r="F41" i="8"/>
  <c r="V37" i="8"/>
  <c r="U38" i="8"/>
  <c r="G41" i="8"/>
  <c r="F42" i="8"/>
  <c r="D35" i="8"/>
  <c r="V38" i="8"/>
  <c r="U39" i="8"/>
  <c r="G42" i="8"/>
  <c r="F34" i="8"/>
  <c r="D36" i="8"/>
  <c r="V39" i="8"/>
  <c r="U40" i="8"/>
  <c r="G34" i="8"/>
  <c r="D37" i="8"/>
</calcChain>
</file>

<file path=xl/sharedStrings.xml><?xml version="1.0" encoding="utf-8"?>
<sst xmlns="http://schemas.openxmlformats.org/spreadsheetml/2006/main" count="2543" uniqueCount="1467">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</sst>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9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5"/>
  <sheetViews>
    <sheetView tabSelected="1" workbookViewId="0">
      <selection activeCell="A11" sqref="A11:XFD11"/>
    </sheetView>
  </sheetViews>
  <sheetFormatPr baseColWidth="10" defaultColWidth="8.83203125" defaultRowHeight="17"/>
  <cols>
    <col min="1" max="1" width="31.6640625" bestFit="1" customWidth="1"/>
    <col min="2" max="2" width="33.83203125" bestFit="1" customWidth="1"/>
    <col min="3" max="3" width="42.5" bestFit="1" customWidth="1"/>
  </cols>
  <sheetData>
    <row r="1" spans="1:3">
      <c r="A1" s="2" t="s">
        <v>1383</v>
      </c>
      <c r="B1" s="16"/>
      <c r="C1" s="31" t="s">
        <v>1384</v>
      </c>
    </row>
    <row r="2" spans="1:3" ht="18">
      <c r="A2" s="2" t="s">
        <v>1385</v>
      </c>
      <c r="B2" s="16"/>
      <c r="C2" s="31" t="s">
        <v>1384</v>
      </c>
    </row>
    <row r="3" spans="1:3" ht="18">
      <c r="A3" s="2" t="s">
        <v>1386</v>
      </c>
      <c r="B3" s="16"/>
      <c r="C3" s="31" t="s">
        <v>1387</v>
      </c>
    </row>
    <row r="4" spans="1:3">
      <c r="A4" s="2" t="s">
        <v>1388</v>
      </c>
      <c r="B4" s="31"/>
      <c r="C4" s="31"/>
    </row>
    <row r="5" spans="1:3" ht="18">
      <c r="A5" s="30"/>
    </row>
    <row r="6" spans="1:3">
      <c r="A6" s="2" t="s">
        <v>1389</v>
      </c>
      <c r="B6" s="39"/>
      <c r="C6" s="31"/>
    </row>
    <row r="7" spans="1:3">
      <c r="A7" s="2" t="s">
        <v>1390</v>
      </c>
      <c r="B7" s="31"/>
      <c r="C7" s="31"/>
    </row>
    <row r="8" spans="1:3">
      <c r="A8" s="2" t="s">
        <v>1391</v>
      </c>
      <c r="B8" s="39"/>
      <c r="C8" s="31"/>
    </row>
    <row r="9" spans="1:3">
      <c r="A9" s="2" t="s">
        <v>1392</v>
      </c>
      <c r="B9" s="31"/>
      <c r="C9" s="31"/>
    </row>
    <row r="12" spans="1:3">
      <c r="A12" t="s">
        <v>1466</v>
      </c>
    </row>
    <row r="14" spans="1:3" ht="18" thickBot="1"/>
    <row r="15" spans="1:3" ht="18" thickTop="1">
      <c r="A15" s="40" t="s">
        <v>1452</v>
      </c>
      <c r="B15" s="41"/>
    </row>
    <row r="16" spans="1:3">
      <c r="A16" s="42"/>
      <c r="B16" s="43"/>
    </row>
    <row r="17" spans="1:2">
      <c r="A17" s="42" t="s">
        <v>1453</v>
      </c>
      <c r="B17" s="43"/>
    </row>
    <row r="18" spans="1:2">
      <c r="A18" s="42" t="s">
        <v>1454</v>
      </c>
      <c r="B18" s="43"/>
    </row>
    <row r="19" spans="1:2">
      <c r="A19" s="42"/>
      <c r="B19" s="43"/>
    </row>
    <row r="20" spans="1:2">
      <c r="A20" s="42" t="s">
        <v>1455</v>
      </c>
      <c r="B20" s="43"/>
    </row>
    <row r="21" spans="1:2">
      <c r="A21" s="42" t="s">
        <v>1456</v>
      </c>
      <c r="B21" s="43"/>
    </row>
    <row r="22" spans="1:2">
      <c r="A22" s="42" t="s">
        <v>1457</v>
      </c>
      <c r="B22" s="43"/>
    </row>
    <row r="23" spans="1:2">
      <c r="A23" s="42" t="s">
        <v>1458</v>
      </c>
      <c r="B23" s="43"/>
    </row>
    <row r="24" spans="1:2">
      <c r="A24" s="42"/>
      <c r="B24" s="43"/>
    </row>
    <row r="25" spans="1:2">
      <c r="A25" s="42" t="s">
        <v>1459</v>
      </c>
      <c r="B25" s="43"/>
    </row>
    <row r="26" spans="1:2">
      <c r="A26" s="42"/>
      <c r="B26" s="43"/>
    </row>
    <row r="27" spans="1:2">
      <c r="A27" s="44"/>
      <c r="B27" s="43" t="s">
        <v>1460</v>
      </c>
    </row>
    <row r="28" spans="1:2">
      <c r="A28" s="42"/>
      <c r="B28" s="43" t="s">
        <v>1461</v>
      </c>
    </row>
    <row r="29" spans="1:2">
      <c r="A29" s="45"/>
      <c r="B29" s="43" t="s">
        <v>1462</v>
      </c>
    </row>
    <row r="30" spans="1:2">
      <c r="A30" s="46"/>
      <c r="B30" s="43" t="s">
        <v>1463</v>
      </c>
    </row>
    <row r="31" spans="1:2">
      <c r="A31" s="42"/>
      <c r="B31" s="43"/>
    </row>
    <row r="32" spans="1:2">
      <c r="A32" s="42"/>
      <c r="B32" s="43"/>
    </row>
    <row r="33" spans="1:2">
      <c r="A33" s="42" t="s">
        <v>1464</v>
      </c>
      <c r="B33" s="43"/>
    </row>
    <row r="34" spans="1:2" ht="18" thickBot="1">
      <c r="A34" s="47" t="s">
        <v>1465</v>
      </c>
      <c r="B34" s="48"/>
    </row>
    <row r="35" spans="1:2" ht="18" thickTop="1"/>
  </sheetData>
  <phoneticPr fontId="2"/>
  <conditionalFormatting sqref="B1:B3">
    <cfRule type="expression" dxfId="28" priority="1">
      <formula>"ISBLANK(B3)"</formula>
    </cfRule>
  </conditionalFormatting>
  <conditionalFormatting sqref="B2:B3">
    <cfRule type="expression" dxfId="27" priority="2" stopIfTrue="1">
      <formula>ISBLANK(B2)</formula>
    </cfRule>
  </conditionalFormatting>
  <conditionalFormatting sqref="B1:C1">
    <cfRule type="expression" dxfId="26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3" sqref="F3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49" t="s">
        <v>1427</v>
      </c>
      <c r="B3" s="4" t="s">
        <v>44</v>
      </c>
      <c r="C3" s="16"/>
      <c r="D3" s="6"/>
      <c r="E3" s="6"/>
      <c r="F3" s="6"/>
      <c r="G3" s="5"/>
      <c r="H3" s="5"/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50"/>
      <c r="B4" s="4" t="s">
        <v>44</v>
      </c>
      <c r="C4" s="16"/>
      <c r="D4" s="6"/>
      <c r="E4" s="6"/>
      <c r="F4" s="6"/>
      <c r="G4" s="5"/>
      <c r="H4" s="5"/>
      <c r="I4" s="6"/>
      <c r="J4" s="7" t="s">
        <v>4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/>
      </c>
      <c r="M4" s="8"/>
      <c r="N4" s="8"/>
      <c r="O4" s="8"/>
      <c r="P4" s="8"/>
      <c r="Q4" s="8"/>
      <c r="R4" s="8"/>
      <c r="S4" s="9"/>
    </row>
    <row r="5" spans="1:19">
      <c r="A5" s="50"/>
      <c r="B5" s="4" t="s">
        <v>44</v>
      </c>
      <c r="C5" s="16"/>
      <c r="D5" s="6"/>
      <c r="E5" s="6"/>
      <c r="F5" s="6"/>
      <c r="G5" s="5"/>
      <c r="H5" s="5"/>
      <c r="I5" s="6"/>
      <c r="J5" s="7" t="s">
        <v>4</v>
      </c>
      <c r="K5" s="32" t="str">
        <f t="shared" si="0"/>
        <v>string</v>
      </c>
      <c r="L5" s="32" t="str">
        <f t="shared" si="1"/>
        <v/>
      </c>
      <c r="M5" s="8"/>
      <c r="N5" s="8"/>
      <c r="O5" s="8"/>
      <c r="P5" s="8"/>
      <c r="Q5" s="8"/>
      <c r="R5" s="8"/>
      <c r="S5" s="9"/>
    </row>
    <row r="6" spans="1:19">
      <c r="A6" s="50"/>
      <c r="B6" s="4" t="s">
        <v>44</v>
      </c>
      <c r="C6" s="16"/>
      <c r="D6" s="6"/>
      <c r="E6" s="6"/>
      <c r="F6" s="6"/>
      <c r="G6" s="5"/>
      <c r="H6" s="5"/>
      <c r="I6" s="6"/>
      <c r="J6" s="7" t="s">
        <v>4</v>
      </c>
      <c r="K6" s="32" t="str">
        <f t="shared" si="0"/>
        <v>string</v>
      </c>
      <c r="L6" s="32" t="str">
        <f t="shared" si="1"/>
        <v/>
      </c>
      <c r="M6" s="8"/>
      <c r="N6" s="8"/>
      <c r="O6" s="8"/>
      <c r="P6" s="8"/>
      <c r="Q6" s="8"/>
      <c r="R6" s="8"/>
      <c r="S6" s="9"/>
    </row>
    <row r="7" spans="1:19">
      <c r="A7" s="50"/>
      <c r="B7" s="4" t="s">
        <v>44</v>
      </c>
      <c r="C7" s="16"/>
      <c r="D7" s="6"/>
      <c r="E7" s="6"/>
      <c r="F7" s="6"/>
      <c r="G7" s="5"/>
      <c r="H7" s="5"/>
      <c r="I7" s="6"/>
      <c r="J7" s="7" t="s">
        <v>4</v>
      </c>
      <c r="K7" s="32" t="str">
        <f t="shared" si="0"/>
        <v>string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0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0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0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0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0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0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0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0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0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0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0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0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0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0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0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0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0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0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0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0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0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0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0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0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0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0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0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0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0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0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0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0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0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0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0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1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G8" sqref="G8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6" t="s">
        <v>9</v>
      </c>
      <c r="C1" s="57"/>
      <c r="D1" s="57"/>
      <c r="E1" s="5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2" t="str">
        <f>"https://rde.nims.go.jp/rde/dataset-templates/"&amp;説明!B3&amp;"/invoice.schema.json"</f>
        <v>https://rde.nims.go.jp/rde/dataset-templates//invoice.schema.json</v>
      </c>
      <c r="C2" s="63"/>
      <c r="D2" s="63"/>
      <c r="E2" s="64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9" t="str">
        <f>説明!B4&amp;": 送状定義"</f>
        <v>: 送状定義</v>
      </c>
      <c r="C3" s="60"/>
      <c r="D3" s="60"/>
      <c r="E3" s="6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2" t="s">
        <v>5</v>
      </c>
      <c r="B7" s="52" t="s">
        <v>33</v>
      </c>
      <c r="C7" s="4" t="s">
        <v>1402</v>
      </c>
      <c r="D7" s="27"/>
      <c r="E7" s="28"/>
      <c r="F7" s="22"/>
      <c r="G7" s="22"/>
      <c r="H7" s="19"/>
      <c r="I7" s="19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52"/>
      <c r="B8" s="52"/>
      <c r="C8" s="4" t="s">
        <v>44</v>
      </c>
      <c r="D8" s="27"/>
      <c r="E8" s="28"/>
      <c r="F8" s="22"/>
      <c r="G8" s="22"/>
      <c r="H8" s="19"/>
      <c r="I8" s="19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52"/>
      <c r="B9" s="52"/>
      <c r="C9" s="4" t="s">
        <v>44</v>
      </c>
      <c r="D9" s="27"/>
      <c r="E9" s="28"/>
      <c r="F9" s="22"/>
      <c r="G9" s="22"/>
      <c r="H9" s="19"/>
      <c r="I9" s="19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2"/>
      <c r="B10" s="52"/>
      <c r="C10" s="4" t="s">
        <v>44</v>
      </c>
      <c r="D10" s="27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2"/>
      <c r="B11" s="52"/>
      <c r="C11" s="4" t="s">
        <v>44</v>
      </c>
      <c r="D11" s="27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2"/>
      <c r="B12" s="52"/>
      <c r="C12" s="4" t="s">
        <v>44</v>
      </c>
      <c r="D12" s="27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2"/>
      <c r="B13" s="52"/>
      <c r="C13" s="4" t="s">
        <v>44</v>
      </c>
      <c r="D13" s="27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2"/>
      <c r="B14" s="52"/>
      <c r="C14" s="4" t="s">
        <v>44</v>
      </c>
      <c r="D14" s="27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2"/>
      <c r="B15" s="52"/>
      <c r="C15" s="4" t="s">
        <v>44</v>
      </c>
      <c r="D15" s="27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2"/>
      <c r="B16" s="52"/>
      <c r="C16" s="4" t="s">
        <v>44</v>
      </c>
      <c r="D16" s="27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2"/>
      <c r="B17" s="52"/>
      <c r="C17" s="4" t="s">
        <v>44</v>
      </c>
      <c r="D17" s="27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3" t="s">
        <v>1379</v>
      </c>
      <c r="B18" s="52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4"/>
      <c r="B19" s="52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4"/>
      <c r="B20" s="52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4"/>
      <c r="B21" s="52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4"/>
      <c r="B22" s="52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4"/>
      <c r="B23" s="52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5"/>
      <c r="B24" s="52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3" t="s">
        <v>1380</v>
      </c>
      <c r="B25" s="52" t="s">
        <v>40</v>
      </c>
      <c r="C25" s="4" t="s">
        <v>44</v>
      </c>
      <c r="D25" s="27" t="str">
        <f>IFERROR(INDEX(sample.general_sample_term!A:H,MATCH($E25,sample.general_sample_term!C:C,FALSE),2),"")</f>
        <v>sample.general.general-name</v>
      </c>
      <c r="E25" s="21" t="s">
        <v>1274</v>
      </c>
      <c r="F25" s="27" t="str">
        <f>IFERROR(INDEX(sample.general_sample_term!A:H,MATCH($E25,sample.general_sample_term!C:C,FALSE),3),"")</f>
        <v>一般名称</v>
      </c>
      <c r="G25" s="27" t="str">
        <f>IFERROR(INDEX(sample.general_sample_term!A:H,MATCH($E25,sample.general_sample_term!C:C,FALSE),4),"")</f>
        <v>General name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一般名称を入力してください</v>
      </c>
      <c r="V25" s="27" t="str">
        <f>IFERROR(INDEX(sample.general_sample_term!A:H,MATCH($E25,sample.general_sample_term!C:C,FALSE),6),"")</f>
        <v>Please enter General name</v>
      </c>
      <c r="W25" s="28"/>
      <c r="X25" s="28"/>
      <c r="Y25" s="28"/>
      <c r="Z25" s="28"/>
      <c r="AA25" s="28"/>
      <c r="AB25" s="28"/>
      <c r="AC25" s="28"/>
    </row>
    <row r="26" spans="1:29">
      <c r="A26" s="54"/>
      <c r="B26" s="52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4"/>
      <c r="B27" s="52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4"/>
      <c r="B28" s="52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4"/>
      <c r="B29" s="52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4"/>
      <c r="B30" s="52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4"/>
      <c r="B31" s="52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4"/>
      <c r="B32" s="52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5"/>
      <c r="B33" s="52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3" t="s">
        <v>1381</v>
      </c>
      <c r="B34" s="52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4"/>
      <c r="B35" s="52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4"/>
      <c r="B36" s="52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4"/>
      <c r="B37" s="52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4"/>
      <c r="B38" s="52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4"/>
      <c r="B39" s="52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4"/>
      <c r="B40" s="52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4"/>
      <c r="B41" s="52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5"/>
      <c r="B42" s="52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1" stopIfTrue="1">
      <formula>ISBLANK(B1)</formula>
    </cfRule>
  </conditionalFormatting>
  <conditionalFormatting sqref="C7:C42">
    <cfRule type="cellIs" dxfId="21" priority="19" operator="equal">
      <formula>"OFF"</formula>
    </cfRule>
    <cfRule type="cellIs" dxfId="20" priority="20" operator="equal">
      <formula>"ON"</formula>
    </cfRule>
  </conditionalFormatting>
  <conditionalFormatting sqref="D18:D24">
    <cfRule type="expression" dxfId="19" priority="3">
      <formula>AND($C18="ON",ISBLANK(D18))</formula>
    </cfRule>
  </conditionalFormatting>
  <conditionalFormatting sqref="F7:G24">
    <cfRule type="expression" dxfId="18" priority="2">
      <formula>AND($C7="ON",ISBLANK(F7))</formula>
    </cfRule>
  </conditionalFormatting>
  <conditionalFormatting sqref="M7:M17 E25:E42">
    <cfRule type="expression" dxfId="17" priority="17">
      <formula>AND($C7="ON",ISBLANK(E7))</formula>
    </cfRule>
  </conditionalFormatting>
  <conditionalFormatting sqref="N7:O17">
    <cfRule type="cellIs" dxfId="16" priority="16" operator="equal">
      <formula>"ON"</formula>
    </cfRule>
  </conditionalFormatting>
  <conditionalFormatting sqref="Q7:Q1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68" t="s">
        <v>9</v>
      </c>
      <c r="C1" s="68"/>
      <c r="D1" s="68"/>
      <c r="E1" s="6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69" t="str">
        <f>"https://rde.nims.go.jp/rde/dataset-templates/"&amp;説明!B3&amp;"/catalog.schema.json"</f>
        <v>https://rde.nims.go.jp/rde/dataset-templates//catalog.schema.json</v>
      </c>
      <c r="C2" s="69"/>
      <c r="D2" s="69"/>
      <c r="E2" s="69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0" t="str">
        <f>説明!B4&amp;": データカタログ定義"</f>
        <v>: データカタログ定義</v>
      </c>
      <c r="C3" s="70"/>
      <c r="D3" s="70"/>
      <c r="E3" s="70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69" t="str">
        <f>説明!B1&amp;":データカタログ定義"</f>
        <v>:データカタログ定義</v>
      </c>
      <c r="C4" s="69"/>
      <c r="D4" s="69"/>
      <c r="E4" s="69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69" t="str">
        <f>説明!B2&amp;":data catalog format"</f>
        <v>:data catalog format</v>
      </c>
      <c r="C5" s="69"/>
      <c r="D5" s="69"/>
      <c r="E5" s="69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5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6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6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6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6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6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6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6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6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67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2026-01-15T00:26:01Z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