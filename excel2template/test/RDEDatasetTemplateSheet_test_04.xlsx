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test/"/>
    </mc:Choice>
  </mc:AlternateContent>
  <xr:revisionPtr revIDLastSave="0" documentId="13_ncr:1_{6042A297-9567-8E46-8B81-6AE78F3A8B61}" xr6:coauthVersionLast="47" xr6:coauthVersionMax="47" xr10:uidLastSave="{00000000-0000-0000-0000-000000000000}"/>
  <bookViews>
    <workbookView xWindow="39020" yWindow="600" windowWidth="31340" windowHeight="2104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8" l="1"/>
  <c r="F34" i="8"/>
  <c r="D34" i="8"/>
  <c r="B2" i="8"/>
  <c r="B2" i="7"/>
  <c r="P8" i="8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V36" i="8"/>
  <c r="U37" i="8"/>
  <c r="G40" i="8"/>
  <c r="F41" i="8"/>
  <c r="V37" i="8"/>
  <c r="U38" i="8"/>
  <c r="G41" i="8"/>
  <c r="F42" i="8"/>
  <c r="D35" i="8"/>
  <c r="V38" i="8"/>
  <c r="U39" i="8"/>
  <c r="G42" i="8"/>
  <c r="D36" i="8"/>
  <c r="V39" i="8"/>
  <c r="U40" i="8"/>
  <c r="D37" i="8"/>
</calcChain>
</file>

<file path=xl/sharedStrings.xml><?xml version="1.0" encoding="utf-8"?>
<sst xmlns="http://schemas.openxmlformats.org/spreadsheetml/2006/main" count="2610" uniqueCount="1515">
  <si>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</si>
  <si>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</si>
  <si>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</si>
  <si>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</si>
  <si>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</si>
  <si>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</si>
  <si>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</si>
  <si>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</si>
  <si>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</si>
  <si>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</si>
  <si>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</si>
  <si>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</si>
  <si>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</si>
  <si>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</si>
  <si>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</si>
  <si>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</si>
  <si>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</si>
  <si>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</si>
  <si>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</si>
  <si>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</si>
  <si>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</si>
  <si>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</si>
  <si>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</si>
  <si>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</si>
  <si>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</si>
  <si>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</si>
  <si>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</si>
  <si>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</si>
  <si>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</si>
  <si>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</si>
  <si>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</si>
  <si>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</si>
  <si>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</si>
  <si>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</si>
  <si>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</si>
  <si>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</si>
  <si>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</si>
  <si>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</si>
  <si>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</si>
  <si>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</si>
  <si>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</si>
  <si>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</si>
  <si>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</si>
  <si>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</si>
  <si>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</si>
  <si>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</si>
  <si>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</si>
  <si>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</si>
  <si>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</si>
  <si>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</si>
  <si>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</si>
  <si>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</si>
  <si>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</si>
  <si>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</si>
  <si>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</si>
  <si>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</si>
  <si>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</si>
  <si>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</si>
  <si>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</si>
  <si>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</si>
  <si>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</si>
  <si>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</si>
  <si>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</si>
  <si>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</si>
  <si>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</si>
  <si>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</si>
  <si>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</si>
  <si>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</si>
  <si>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</si>
  <si>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</si>
  <si>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</si>
  <si>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</si>
  <si>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</si>
  <si>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</si>
  <si>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</si>
  <si>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</si>
  <si>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</si>
  <si>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</si>
  <si>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</si>
  <si>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</si>
  <si>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</si>
  <si>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</si>
  <si>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</si>
  <si>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</si>
  <si>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</si>
  <si>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</si>
  <si>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</si>
  <si>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</si>
  <si>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</si>
  <si>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</si>
  <si>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</si>
  <si>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</si>
  <si>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</si>
  <si>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</si>
  <si>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</si>
  <si>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</si>
  <si>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</si>
  <si>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</si>
  <si>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</si>
  <si>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</si>
  <si>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</si>
  <si>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</si>
  <si>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</si>
  <si>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</si>
  <si>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</si>
  <si>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</si>
  <si>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</si>
  <si>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</si>
  <si>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</si>
  <si>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</si>
  <si>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</si>
  <si>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</si>
  <si>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</si>
  <si>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</si>
  <si>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</si>
  <si>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</si>
  <si>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</si>
  <si>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</si>
  <si>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</si>
  <si>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</si>
  <si>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</si>
  <si>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</si>
  <si>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</si>
  <si>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</si>
  <si>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</si>
  <si>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</si>
  <si>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</si>
  <si>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</si>
  <si>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</si>
  <si>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</si>
  <si>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</si>
  <si>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</si>
  <si>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</si>
  <si>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</si>
  <si>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</si>
  <si>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</si>
  <si>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</si>
  <si>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</si>
  <si>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</si>
  <si>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</si>
  <si>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</si>
  <si>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</si>
  <si>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</si>
  <si>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</si>
  <si>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</si>
  <si>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</si>
  <si>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</si>
  <si>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</si>
  <si>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</si>
  <si>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</si>
  <si>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</si>
  <si>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</si>
  <si>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</si>
  <si>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</si>
  <si>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</si>
  <si>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</si>
  <si>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</si>
  <si>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</si>
  <si>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</si>
  <si>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</si>
  <si>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</si>
  <si>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</si>
  <si>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</si>
  <si>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</si>
  <si>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</si>
  <si>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</si>
  <si>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</si>
  <si>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</si>
  <si>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</si>
  <si>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</si>
  <si>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</si>
  <si>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</si>
  <si>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</si>
  <si>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</si>
  <si>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</si>
  <si>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</si>
  <si>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</si>
  <si>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</si>
  <si>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</si>
  <si>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</si>
  <si>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</si>
  <si>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</si>
  <si>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</si>
  <si>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</si>
  <si>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</si>
  <si>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</si>
  <si>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</si>
  <si>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</si>
  <si>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</si>
  <si>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</si>
  <si>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</si>
  <si>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</si>
  <si>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</si>
  <si>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</si>
  <si>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</si>
  <si>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</si>
  <si>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</si>
  <si>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</si>
  <si>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</si>
  <si>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</si>
  <si>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</si>
  <si>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</si>
  <si>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</si>
  <si>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</si>
  <si>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</si>
  <si>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</si>
  <si>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</si>
  <si>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</si>
  <si>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</si>
  <si>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</si>
  <si>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</si>
  <si>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</si>
  <si>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</si>
  <si>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</si>
  <si>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</si>
  <si>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</si>
  <si>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</si>
  <si>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</si>
  <si>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</si>
  <si>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</si>
  <si>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</si>
  <si>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</si>
  <si>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</si>
  <si>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</si>
  <si>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</si>
  <si>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</si>
  <si>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</si>
  <si>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</si>
  <si>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</si>
  <si>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</si>
  <si>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</si>
  <si>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</si>
  <si>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</si>
  <si>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</si>
  <si>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</si>
  <si>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</si>
  <si>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</si>
  <si>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</si>
  <si>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</si>
  <si>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</si>
  <si>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</si>
  <si>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</si>
  <si>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</si>
  <si>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</si>
  <si>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</si>
  <si>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</si>
  <si>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</si>
  <si>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</si>
  <si>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</si>
  <si>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</si>
  <si>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</si>
  <si>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</si>
  <si>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</si>
  <si>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</si>
  <si>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</si>
  <si>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</si>
  <si>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</si>
  <si>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</si>
  <si>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</si>
  <si>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</si>
  <si>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</si>
  <si>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</si>
  <si>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</si>
  <si>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</si>
  <si>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</si>
  <si>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</si>
  <si>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</si>
  <si>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</si>
  <si>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</si>
  <si>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</si>
  <si>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</si>
  <si>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</si>
  <si>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</si>
  <si>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</si>
  <si>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</si>
  <si>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</si>
  <si>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</si>
  <si>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</si>
  <si>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</si>
  <si>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</si>
  <si>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</si>
  <si>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</si>
  <si>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</si>
  <si>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</si>
  <si>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</si>
  <si>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</si>
  <si>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</si>
  <si>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</si>
  <si>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</si>
  <si>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</si>
  <si>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</si>
  <si>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</si>
  <si>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</si>
  <si>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</si>
  <si>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</si>
  <si>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</si>
  <si>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</si>
  <si>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</si>
  <si>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</si>
  <si>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</si>
  <si>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</si>
  <si>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</si>
  <si>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</si>
  <si>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</si>
  <si>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</si>
  <si>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</si>
  <si>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</si>
  <si>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</si>
  <si>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</si>
  <si>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</si>
  <si>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</si>
  <si>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</si>
  <si>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</si>
  <si>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</si>
  <si>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</si>
  <si>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</si>
  <si>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</si>
  <si>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</si>
  <si>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</si>
  <si>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</si>
  <si>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</si>
  <si>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</si>
  <si>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</si>
  <si>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</si>
  <si>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</si>
  <si>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</si>
  <si>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</si>
  <si>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</si>
  <si>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</si>
  <si>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</si>
  <si>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</si>
  <si>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</si>
  <si>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</si>
  <si>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</si>
  <si>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</si>
  <si>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</si>
  <si>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</si>
  <si>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</si>
  <si>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</si>
  <si>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</si>
  <si>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</si>
  <si>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</si>
  <si>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</si>
  <si>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</si>
  <si>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</si>
  <si>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</si>
  <si>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</si>
  <si>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</si>
  <si>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</si>
  <si>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</si>
  <si>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</si>
  <si>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</si>
  <si>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</si>
  <si>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</si>
  <si>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</si>
  <si>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</si>
  <si>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</si>
  <si>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</si>
  <si>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</si>
  <si>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</si>
  <si>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</si>
  <si>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</si>
  <si>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</si>
  <si>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</si>
  <si>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</si>
  <si>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</si>
  <si>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</si>
  <si>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</si>
  <si>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</si>
  <si>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</si>
  <si>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</si>
  <si>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</si>
  <si>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</si>
  <si>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</si>
  <si>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</si>
  <si>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</si>
  <si>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</si>
  <si>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</si>
  <si>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</si>
  <si>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</si>
  <si>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</si>
  <si>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</si>
  <si>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</si>
  <si>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</si>
  <si>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</si>
  <si>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</si>
  <si>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</si>
  <si>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</si>
  <si>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</si>
  <si>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</si>
  <si>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</si>
  <si>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</si>
  <si>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</si>
  <si>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</si>
  <si>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</si>
  <si>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</si>
  <si>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</si>
  <si>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</si>
  <si>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</si>
  <si>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</si>
  <si>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</si>
  <si>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</si>
  <si>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</si>
  <si>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</si>
  <si>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</si>
  <si>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</si>
  <si>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</si>
  <si>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</si>
  <si>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</si>
  <si>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</si>
  <si>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</si>
  <si>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</si>
  <si>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</si>
  <si>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</si>
  <si>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</si>
  <si>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</si>
  <si>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</si>
  <si>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</si>
  <si>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</si>
  <si>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</si>
  <si>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</si>
  <si>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</si>
  <si>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</si>
  <si>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</si>
  <si>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</si>
  <si>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</si>
  <si>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</si>
  <si>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</si>
  <si>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</si>
  <si>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</si>
  <si>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</si>
  <si>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</si>
  <si>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</si>
  <si>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</si>
  <si>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</si>
  <si>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</si>
  <si>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</si>
  <si>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</si>
  <si>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</si>
  <si>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</si>
  <si>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</si>
  <si>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</si>
  <si>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</si>
  <si>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</si>
  <si>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</si>
  <si>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</si>
  <si>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</si>
  <si>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</si>
  <si>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</si>
  <si>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</si>
  <si>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</si>
  <si>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</si>
  <si>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</si>
  <si>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</si>
  <si>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</si>
  <si>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</si>
  <si>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</si>
  <si>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</si>
  <si>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</si>
  <si>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</si>
  <si>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</si>
  <si>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</si>
  <si>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</si>
  <si>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</si>
  <si>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</si>
  <si>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</si>
  <si>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</si>
  <si>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</si>
  <si>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</si>
  <si>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</si>
  <si>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</si>
  <si>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</si>
  <si>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</si>
  <si>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</si>
  <si>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</si>
  <si>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</si>
  <si>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</si>
  <si>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</si>
  <si>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</si>
  <si>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</si>
  <si>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</si>
  <si>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</si>
  <si>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</si>
  <si>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</si>
  <si>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</si>
  <si>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</si>
  <si>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</si>
  <si>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</si>
  <si>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</si>
  <si>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</si>
  <si>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</si>
  <si>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</si>
  <si>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</si>
  <si>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</si>
  <si>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</si>
  <si>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</si>
  <si>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</si>
  <si>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</si>
  <si>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</si>
  <si>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</si>
  <si>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</si>
  <si>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</si>
  <si>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</si>
  <si>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</si>
  <si>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</si>
  <si>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</si>
  <si>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</si>
  <si>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</si>
  <si>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</si>
  <si>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</si>
  <si>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</si>
  <si>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</si>
  <si>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</si>
  <si>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</si>
  <si>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</si>
  <si>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</si>
  <si>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</si>
  <si>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</si>
  <si>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</si>
  <si>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</si>
  <si>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</si>
  <si>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</si>
  <si>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</si>
  <si>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</si>
  <si>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</si>
  <si>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</si>
  <si>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</si>
  <si>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</si>
  <si>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</si>
  <si>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</si>
  <si>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</si>
  <si>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</si>
  <si>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</si>
  <si>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</si>
  <si>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</si>
  <si>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</si>
  <si>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</si>
  <si>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</si>
  <si>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</si>
  <si>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</si>
  <si>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</si>
  <si>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</si>
  <si>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</si>
  <si>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</si>
  <si>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</si>
  <si>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</si>
  <si>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</si>
  <si>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</si>
  <si>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</si>
  <si>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</si>
  <si>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</si>
  <si>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</si>
  <si>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</si>
  <si>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</si>
  <si>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</si>
  <si>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</si>
  <si>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</si>
  <si>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</si>
  <si>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</si>
  <si>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</si>
  <si>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</si>
  <si>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</si>
  <si>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</si>
  <si>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</si>
  <si>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</si>
  <si>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</si>
  <si>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</si>
  <si>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</si>
  <si>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</si>
  <si>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</si>
  <si>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</si>
  <si>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</si>
  <si>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</si>
  <si>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</si>
  <si>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</si>
  <si>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</si>
  <si>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</si>
  <si>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</si>
  <si>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</si>
  <si>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</si>
  <si>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</si>
  <si>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</si>
  <si>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</si>
  <si>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</si>
  <si>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</si>
  <si>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</si>
  <si>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</si>
  <si>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</si>
  <si>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</si>
  <si>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</si>
  <si>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</si>
  <si>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</si>
  <si>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</si>
  <si>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</si>
  <si>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</si>
  <si>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</si>
  <si>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</si>
  <si>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</si>
  <si>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</si>
  <si>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</si>
  <si>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</si>
  <si>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</si>
  <si>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</si>
  <si>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</si>
  <si>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</si>
  <si>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</si>
  <si>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</si>
  <si>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</si>
  <si>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</si>
  <si>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</si>
  <si>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</si>
  <si>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</si>
  <si>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</si>
  <si>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</si>
  <si>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</si>
  <si>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</si>
  <si>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</si>
  <si>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</si>
  <si>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</si>
  <si>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</si>
  <si>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</si>
  <si>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</si>
  <si>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</si>
  <si>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</si>
  <si>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</si>
  <si>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</si>
  <si>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</si>
  <si>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</si>
  <si>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</si>
  <si>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</si>
  <si>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</si>
  <si>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</si>
  <si>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</si>
  <si>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</si>
  <si>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</si>
  <si>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</si>
  <si>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</si>
  <si>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</si>
  <si>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</si>
  <si>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</si>
  <si>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</si>
  <si>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</si>
  <si>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</si>
  <si>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</si>
  <si>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</si>
  <si>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</si>
  <si>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</si>
  <si>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</si>
  <si>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</si>
  <si>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</si>
  <si>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</si>
  <si>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</si>
  <si>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</si>
  <si>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</si>
  <si>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</si>
  <si>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</si>
  <si>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</si>
  <si>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</si>
  <si>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</si>
  <si>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</si>
  <si>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</si>
  <si>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</si>
  <si>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</si>
  <si>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</si>
  <si>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</si>
  <si>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</si>
  <si>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</si>
  <si>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</si>
  <si>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</si>
  <si>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</si>
  <si>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</si>
  <si>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</si>
  <si>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</si>
  <si>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</si>
  <si>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</si>
  <si>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</si>
  <si>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</si>
  <si>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</si>
  <si>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</si>
  <si>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</si>
  <si>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</si>
  <si>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</si>
  <si>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</si>
  <si>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</si>
  <si>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</si>
  <si>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</si>
  <si>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</si>
  <si>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</si>
  <si>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</si>
  <si>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</si>
  <si>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</si>
  <si>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</si>
  <si>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</si>
  <si>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</si>
  <si>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</si>
  <si>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</si>
  <si>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</si>
  <si>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</si>
  <si>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</si>
  <si>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</si>
  <si>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</si>
  <si>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</si>
  <si>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</si>
  <si>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</si>
  <si>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</si>
  <si>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</si>
  <si>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</si>
  <si>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</si>
  <si>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</si>
  <si>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</si>
  <si>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</si>
  <si>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</si>
  <si>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</si>
  <si>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</si>
  <si>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</si>
  <si>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</si>
  <si>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</si>
  <si>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</si>
  <si>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</si>
  <si>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</si>
  <si>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</si>
  <si>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</si>
  <si>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</si>
  <si>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</si>
  <si>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</si>
  <si>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</si>
  <si>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</si>
  <si>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</si>
  <si>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</si>
  <si>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</si>
  <si>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</si>
  <si>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</si>
  <si>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</si>
  <si>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</si>
  <si>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</si>
  <si>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</si>
  <si>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</si>
  <si>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</si>
  <si>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</si>
  <si>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</si>
  <si>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</si>
  <si>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</si>
  <si>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</si>
  <si>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</si>
  <si>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</si>
  <si>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</si>
  <si>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</si>
  <si>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</si>
  <si>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</si>
  <si>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</si>
  <si>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</si>
  <si>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</si>
  <si>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</si>
  <si>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</si>
  <si>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</si>
  <si>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</si>
  <si>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</si>
  <si>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</si>
  <si>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</si>
  <si>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</si>
  <si>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</si>
  <si>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</si>
  <si>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</si>
  <si>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</si>
  <si>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</si>
  <si>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</si>
  <si>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</si>
  <si>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</si>
  <si>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</si>
  <si>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</si>
  <si>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</si>
  <si>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</si>
  <si>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</si>
  <si>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</si>
  <si>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</si>
  <si>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</si>
  <si>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</si>
  <si>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</si>
  <si>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</si>
  <si>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</si>
  <si>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</si>
  <si>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</si>
  <si>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</si>
  <si>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</si>
  <si>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</si>
  <si>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</si>
  <si>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</si>
  <si>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</si>
  <si>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</si>
  <si>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</si>
  <si>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</si>
  <si>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</si>
  <si>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</si>
  <si>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</si>
  <si>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</si>
  <si>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</si>
  <si>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</si>
  <si>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</si>
  <si>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</si>
  <si>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</si>
  <si>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</si>
  <si>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</si>
  <si>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</si>
  <si>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</si>
  <si>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</si>
  <si>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</si>
  <si>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</si>
  <si>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</si>
  <si>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</si>
  <si>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</si>
  <si>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</si>
  <si>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</si>
  <si>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</si>
  <si>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</si>
  <si>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</si>
  <si>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</si>
  <si>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</si>
  <si>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</si>
  <si>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</si>
  <si>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</si>
  <si>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</si>
  <si>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</si>
  <si>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</si>
  <si>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</si>
  <si>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</si>
  <si>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</si>
  <si>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</si>
  <si>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</si>
  <si>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</si>
  <si>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</si>
  <si>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</si>
  <si>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</si>
  <si>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</si>
  <si>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</si>
  <si>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</si>
  <si>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</si>
  <si>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</si>
  <si>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</si>
  <si>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</si>
  <si>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</si>
  <si>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</si>
  <si>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</si>
  <si>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</si>
  <si>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</si>
  <si>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</si>
  <si>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</si>
  <si>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</si>
  <si>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</si>
  <si>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</si>
  <si>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</si>
  <si>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</si>
  <si>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</si>
  <si>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</si>
  <si>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</si>
  <si>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</si>
  <si>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</si>
  <si>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</si>
  <si>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</si>
  <si>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</si>
  <si>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</si>
  <si>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</si>
  <si>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</si>
  <si>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</si>
  <si>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</si>
  <si>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</si>
  <si>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</si>
  <si>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</si>
  <si>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</si>
  <si>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</si>
  <si>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</si>
  <si>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</si>
  <si>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</si>
  <si>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</si>
  <si>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</si>
  <si>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</si>
  <si>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</si>
  <si>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</si>
  <si>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</si>
  <si>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</si>
  <si>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</si>
  <si>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</si>
  <si>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</si>
  <si>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</si>
  <si>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</si>
  <si>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</si>
  <si>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</si>
  <si>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</si>
  <si>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</si>
  <si>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</si>
  <si>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</si>
  <si>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</si>
  <si>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</si>
  <si>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</si>
  <si>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</si>
  <si>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</si>
  <si>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</si>
  <si>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</si>
  <si>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</si>
  <si>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</si>
  <si>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</si>
  <si>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</si>
  <si>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</si>
  <si>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</si>
  <si>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</si>
  <si>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</si>
  <si>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</si>
  <si>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</si>
  <si>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</si>
  <si>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</si>
  <si>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</si>
  <si>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</si>
  <si>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</si>
  <si>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</si>
  <si>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</si>
  <si>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</si>
  <si>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</si>
  <si>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</si>
  <si>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</si>
  <si>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</si>
  <si>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</si>
  <si>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</si>
  <si>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</si>
  <si>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</si>
  <si>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</si>
  <si>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</si>
  <si>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</si>
  <si>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</si>
  <si>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</si>
  <si>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</si>
  <si>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</si>
  <si>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</si>
  <si>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</si>
  <si>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</si>
  <si>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</si>
  <si>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</si>
  <si>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</si>
  <si>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</si>
  <si>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</si>
  <si>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</si>
  <si>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</si>
  <si>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</si>
  <si>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</si>
  <si>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</si>
  <si>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</si>
  <si>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</si>
  <si>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</si>
  <si>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</si>
  <si>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</si>
  <si>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</si>
  <si>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</si>
  <si>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</si>
  <si>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</si>
  <si>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</si>
  <si>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</si>
  <si>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</si>
  <si>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</si>
  <si>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</si>
  <si>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</si>
  <si>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</si>
  <si>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</si>
  <si>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</si>
  <si>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</si>
  <si>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</si>
  <si>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</si>
  <si>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</si>
  <si>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</si>
  <si>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</si>
  <si>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</si>
  <si>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</si>
  <si>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</si>
  <si>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</si>
  <si>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</si>
  <si>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</si>
  <si>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</si>
  <si>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</si>
  <si>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</si>
  <si>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</si>
  <si>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</si>
  <si>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</si>
  <si>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</si>
  <si>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</si>
  <si>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</si>
  <si>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</si>
  <si>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</si>
  <si>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</si>
  <si>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</si>
  <si>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</si>
  <si>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</si>
  <si>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</si>
  <si>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</si>
  <si>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</si>
  <si>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</si>
  <si>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</si>
  <si>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</si>
  <si>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</si>
  <si>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</si>
  <si>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</si>
  <si>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</si>
  <si>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</si>
  <si>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</si>
  <si>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</si>
  <si>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</si>
  <si>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</si>
  <si>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</si>
  <si>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</si>
  <si>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</si>
  <si>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</si>
  <si>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</si>
  <si>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</si>
  <si>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</si>
  <si>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</si>
  <si>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</si>
  <si>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</si>
  <si>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</si>
  <si>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</si>
  <si>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</si>
  <si>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</si>
  <si>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</si>
  <si>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</si>
  <si>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</si>
  <si>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</si>
  <si>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</si>
  <si>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</si>
  <si>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</si>
  <si>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</si>
  <si>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</si>
  <si>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</si>
  <si>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</si>
  <si>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</si>
  <si>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</si>
  <si>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</si>
  <si>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</si>
  <si>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</si>
  <si>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</si>
  <si>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</si>
  <si>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</si>
  <si>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</si>
  <si>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</si>
  <si>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</si>
  <si>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</si>
  <si>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</si>
  <si>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</si>
  <si>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</si>
  <si>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</si>
  <si>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</si>
  <si>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</si>
  <si>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</si>
  <si>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</si>
  <si>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</si>
  <si>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</si>
  <si>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</si>
  <si>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</si>
  <si>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</si>
  <si>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</si>
  <si>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</si>
  <si>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</si>
  <si>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</si>
  <si>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</si>
  <si>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</si>
  <si>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</si>
  <si>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</si>
  <si>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</si>
  <si>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</si>
  <si>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</si>
  <si>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</si>
  <si>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</si>
  <si>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</si>
  <si>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</si>
  <si>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</si>
  <si>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</si>
  <si>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</si>
  <si>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</si>
  <si>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</si>
  <si>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</si>
  <si>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</si>
  <si>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</si>
  <si>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</si>
  <si>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</si>
  <si>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</si>
  <si>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</si>
  <si>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</si>
  <si>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</si>
  <si>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</si>
  <si>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</si>
  <si>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</si>
  <si>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</si>
  <si>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</si>
  <si>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</si>
  <si>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</si>
  <si>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</si>
  <si>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</si>
  <si>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</si>
  <si>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</si>
  <si>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</si>
  <si>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</si>
  <si>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</si>
  <si>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</si>
  <si>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</si>
  <si>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</si>
  <si>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</si>
  <si>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</si>
  <si>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</si>
  <si>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</si>
  <si>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</si>
  <si>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</si>
  <si>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</si>
  <si>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</si>
  <si>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</si>
  <si>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</si>
  <si>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</si>
  <si>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</si>
  <si>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</si>
  <si>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</si>
  <si>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</si>
  <si>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</si>
  <si>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</si>
  <si>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</si>
  <si>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</si>
  <si>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</si>
  <si>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</si>
  <si>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</si>
  <si>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</si>
  <si>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</si>
  <si>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</si>
  <si>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</si>
  <si>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</si>
  <si>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</si>
  <si>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</si>
  <si>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</si>
  <si>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</si>
  <si>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</si>
  <si>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</si>
  <si>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</si>
  <si>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</si>
  <si>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</si>
  <si>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</si>
  <si>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</si>
  <si>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</si>
  <si>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</si>
  <si>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</si>
  <si>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</si>
  <si>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</si>
  <si>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</si>
  <si>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</si>
  <si>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</si>
  <si>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</si>
  <si>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</si>
  <si>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</si>
  <si>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</si>
  <si>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</si>
  <si>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</si>
  <si>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</si>
  <si>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</si>
  <si>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</si>
  <si>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</si>
  <si>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</si>
  <si>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</si>
  <si>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</si>
  <si>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</si>
  <si>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</si>
  <si>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</si>
  <si>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</si>
  <si>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</si>
  <si>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</si>
  <si>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</si>
  <si>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</si>
  <si>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</si>
  <si>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</si>
  <si>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</si>
  <si>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</si>
  <si>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</si>
  <si>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</si>
  <si>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</si>
  <si>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</si>
  <si>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</si>
  <si>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</si>
  <si>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</si>
  <si>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</si>
  <si>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</si>
  <si>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</si>
  <si>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</si>
  <si>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</si>
  <si>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</si>
  <si>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</si>
  <si>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</si>
  <si>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</si>
  <si>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</si>
  <si>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</si>
  <si>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</si>
  <si>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</si>
  <si>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</si>
  <si>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</si>
  <si>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</si>
  <si>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</si>
  <si>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</si>
  <si>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</si>
  <si>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</si>
  <si>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</si>
  <si>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</si>
  <si>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</si>
  <si>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</si>
  <si>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</si>
  <si>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</si>
  <si>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</si>
  <si>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</si>
  <si>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</si>
  <si>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</si>
  <si>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</si>
  <si>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</si>
  <si>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</si>
  <si>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</si>
  <si>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</si>
  <si>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</si>
  <si>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</si>
  <si>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</si>
  <si>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</si>
  <si>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</si>
  <si>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</si>
  <si>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</si>
  <si>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</si>
  <si>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</si>
  <si>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</si>
  <si>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</si>
  <si>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</si>
  <si>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</si>
  <si>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</si>
  <si>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</si>
  <si>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</si>
  <si>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</si>
  <si>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</si>
  <si>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</si>
  <si>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</si>
  <si>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</si>
  <si>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</si>
  <si>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</si>
  <si>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</si>
  <si>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</si>
  <si>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</si>
  <si>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</si>
  <si>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</si>
  <si>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</si>
  <si>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</si>
  <si>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</si>
  <si>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</si>
  <si>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</si>
  <si>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</si>
  <si>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</si>
  <si>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</si>
  <si>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</si>
  <si>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</si>
  <si>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</si>
  <si>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</si>
  <si>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</si>
  <si>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</si>
  <si>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</si>
  <si>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</si>
  <si>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</si>
  <si>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</si>
  <si>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</si>
  <si>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</si>
  <si>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</si>
  <si>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</si>
  <si>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</si>
  <si>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</si>
  <si>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</si>
  <si>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</si>
  <si>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</si>
  <si>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</si>
  <si>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</si>
  <si>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</si>
  <si>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</si>
  <si>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</si>
  <si>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</si>
  <si>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</si>
  <si>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</si>
  <si>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</si>
  <si>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</si>
  <si>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</si>
  <si>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</si>
  <si>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</si>
  <si>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</si>
  <si>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</si>
  <si>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</si>
  <si>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</si>
  <si>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</si>
  <si>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</si>
  <si>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</si>
  <si>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</si>
  <si>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</si>
  <si>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</si>
  <si>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</si>
  <si>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</si>
  <si>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</si>
  <si>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</si>
  <si>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</si>
  <si>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</si>
  <si>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</si>
  <si>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</si>
  <si>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</si>
  <si>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</si>
  <si>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</si>
  <si>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</si>
  <si>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</si>
  <si>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</si>
  <si>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</si>
  <si>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</si>
  <si>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</si>
  <si>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</si>
  <si>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</si>
  <si>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</si>
  <si>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</si>
  <si>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</si>
  <si>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</si>
  <si>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</si>
  <si>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</si>
  <si>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</si>
  <si>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</si>
  <si>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</si>
  <si>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</si>
  <si>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</si>
  <si>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</si>
  <si>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</si>
  <si>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</si>
  <si>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</si>
  <si>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</si>
  <si>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</si>
  <si>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</si>
  <si>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</si>
  <si>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</si>
  <si>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</si>
  <si>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</si>
  <si>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</si>
  <si>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</si>
  <si>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</si>
  <si>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</si>
  <si>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</si>
  <si>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</si>
  <si>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</si>
  <si>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</si>
  <si>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</si>
  <si>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</si>
  <si>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</si>
  <si>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</si>
  <si>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</si>
  <si>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</si>
  <si>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</si>
  <si>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</si>
  <si>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</si>
  <si>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</si>
  <si>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</si>
  <si>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</si>
  <si>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</si>
  <si>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</si>
  <si>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</si>
  <si>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</si>
  <si>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</si>
  <si>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</si>
  <si>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</si>
  <si>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</si>
  <si>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</si>
  <si>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</si>
  <si>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</si>
  <si>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</si>
  <si>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</si>
  <si>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</si>
  <si>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</si>
  <si>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</si>
  <si>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</si>
  <si>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</si>
  <si>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</si>
  <si>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</si>
  <si>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</si>
  <si>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</si>
  <si>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</si>
  <si>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</si>
  <si>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</si>
  <si>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</si>
  <si>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</si>
  <si>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</si>
  <si>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</si>
  <si>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</si>
  <si>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</si>
  <si>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</si>
  <si>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</si>
  <si>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</si>
  <si>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</si>
  <si>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</si>
  <si>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</si>
  <si>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</si>
  <si>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</si>
  <si>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</si>
  <si>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</si>
  <si>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</si>
  <si>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</si>
  <si>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</si>
  <si>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</si>
  <si>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</si>
  <si>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</si>
  <si>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</si>
  <si>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</si>
  <si>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</si>
  <si>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</si>
  <si>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</si>
  <si>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</si>
  <si>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</si>
  <si>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</si>
  <si>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</si>
  <si>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</si>
  <si>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</si>
  <si>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</si>
  <si>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</si>
  <si>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</si>
  <si>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</si>
  <si>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</si>
  <si>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</si>
  <si>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</si>
  <si>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</si>
  <si>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</si>
  <si>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</si>
  <si>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</si>
  <si>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</si>
  <si>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</si>
  <si>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</si>
  <si>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</si>
  <si>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</si>
  <si>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</si>
  <si>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</si>
  <si>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</si>
  <si>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</si>
  <si>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</si>
  <si>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</si>
  <si>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</si>
  <si>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</si>
  <si>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</si>
  <si>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</si>
  <si>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</si>
  <si>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</si>
  <si>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</si>
  <si>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</si>
  <si>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</si>
  <si>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</si>
  <si>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</si>
  <si>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</si>
  <si>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</si>
  <si>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</si>
  <si>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</si>
  <si>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</si>
  <si>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</si>
  <si>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</si>
  <si>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</si>
  <si>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</si>
  <si>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</si>
  <si>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</si>
  <si>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</si>
  <si>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</si>
  <si>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</si>
  <si>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</si>
  <si>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</si>
  <si>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</si>
  <si>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</si>
  <si>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</si>
  <si>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</si>
  <si>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</si>
  <si>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</si>
  <si>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</si>
  <si>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</si>
  <si>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</si>
  <si>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</si>
  <si>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item1</t>
    <phoneticPr fontId="2"/>
  </si>
  <si>
    <t>item2</t>
    <phoneticPr fontId="2"/>
  </si>
  <si>
    <t>item3</t>
    <phoneticPr fontId="2"/>
  </si>
  <si>
    <t>item4</t>
    <phoneticPr fontId="2"/>
  </si>
  <si>
    <t>item5</t>
    <phoneticPr fontId="2"/>
  </si>
  <si>
    <t>itemt</t>
    <phoneticPr fontId="2"/>
  </si>
  <si>
    <t>itemt5</t>
    <phoneticPr fontId="2"/>
  </si>
  <si>
    <t>datetime</t>
  </si>
  <si>
    <t>integer</t>
  </si>
  <si>
    <t>number</t>
  </si>
  <si>
    <t>boolean</t>
  </si>
  <si>
    <t>pcs</t>
    <phoneticPr fontId="2"/>
  </si>
  <si>
    <t>nm</t>
    <phoneticPr fontId="2"/>
  </si>
  <si>
    <t>文字列</t>
    <rPh sb="0" eb="3">
      <t xml:space="preserve">モジレツ </t>
    </rPh>
    <phoneticPr fontId="2"/>
  </si>
  <si>
    <t>日付文字列</t>
    <rPh sb="0" eb="2">
      <t xml:space="preserve">ヒヅケ </t>
    </rPh>
    <rPh sb="2" eb="5">
      <t xml:space="preserve">モジレツ </t>
    </rPh>
    <phoneticPr fontId="2"/>
  </si>
  <si>
    <t>整数</t>
    <rPh sb="0" eb="2">
      <t xml:space="preserve">セイスウ </t>
    </rPh>
    <phoneticPr fontId="2"/>
  </si>
  <si>
    <t>実数</t>
    <rPh sb="0" eb="2">
      <t xml:space="preserve">ジッスウ </t>
    </rPh>
    <phoneticPr fontId="2"/>
  </si>
  <si>
    <t>2026/01/07</t>
    <phoneticPr fontId="2"/>
  </si>
  <si>
    <t>123</t>
    <phoneticPr fontId="2"/>
  </si>
  <si>
    <t>456.78</t>
    <phoneticPr fontId="2"/>
  </si>
  <si>
    <t>date</t>
  </si>
  <si>
    <t>my_date</t>
    <phoneticPr fontId="2"/>
  </si>
  <si>
    <t>日付情報</t>
    <rPh sb="0" eb="2">
      <t xml:space="preserve">ヒヅケ </t>
    </rPh>
    <rPh sb="2" eb="4">
      <t xml:space="preserve">ジョウホウ </t>
    </rPh>
    <phoneticPr fontId="2"/>
  </si>
  <si>
    <t>2026-04-02</t>
    <phoneticPr fontId="2"/>
  </si>
  <si>
    <t>my_int</t>
    <phoneticPr fontId="2"/>
  </si>
  <si>
    <t>整数情報</t>
    <rPh sb="0" eb="2">
      <t xml:space="preserve">セイスウ </t>
    </rPh>
    <rPh sb="2" eb="4">
      <t xml:space="preserve">ジョウホウ </t>
    </rPh>
    <phoneticPr fontId="2"/>
  </si>
  <si>
    <t>my_number</t>
    <phoneticPr fontId="2"/>
  </si>
  <si>
    <t>数値情報</t>
    <rPh sb="0" eb="2">
      <t xml:space="preserve">スウチ </t>
    </rPh>
    <rPh sb="2" eb="4">
      <t xml:space="preserve">ジョウホウ </t>
    </rPh>
    <phoneticPr fontId="2"/>
  </si>
  <si>
    <t>my_string</t>
    <phoneticPr fontId="2"/>
  </si>
  <si>
    <t>文字列情報</t>
    <rPh sb="0" eb="3">
      <t xml:space="preserve">モジレツ </t>
    </rPh>
    <rPh sb="3" eb="5">
      <t xml:space="preserve">ジョウホウ </t>
    </rPh>
    <phoneticPr fontId="2"/>
  </si>
  <si>
    <t>Aa123文字列</t>
    <rPh sb="5" eb="8">
      <t xml:space="preserve">モジレツ </t>
    </rPh>
    <phoneticPr fontId="2"/>
  </si>
  <si>
    <t>my_textarea</t>
    <phoneticPr fontId="2"/>
  </si>
  <si>
    <t>文字列テキストエリア</t>
    <rPh sb="0" eb="1">
      <t xml:space="preserve">モジレツ </t>
    </rPh>
    <phoneticPr fontId="2"/>
  </si>
  <si>
    <t>テキストエリア</t>
    <phoneticPr fontId="2"/>
  </si>
  <si>
    <t>my_list</t>
    <phoneticPr fontId="2"/>
  </si>
  <si>
    <t>リスト項目</t>
    <rPh sb="3" eb="5">
      <t xml:space="preserve">コウモク </t>
    </rPh>
    <phoneticPr fontId="2"/>
  </si>
  <si>
    <t>選択項目</t>
    <rPh sb="0" eb="2">
      <t xml:space="preserve">センタク </t>
    </rPh>
    <rPh sb="2" eb="4">
      <t xml:space="preserve">コウモク </t>
    </rPh>
    <phoneticPr fontId="2"/>
  </si>
  <si>
    <t>a,b,c</t>
    <phoneticPr fontId="2"/>
  </si>
  <si>
    <t>list</t>
  </si>
  <si>
    <t>my_boolean</t>
    <phoneticPr fontId="2"/>
  </si>
  <si>
    <t>真偽値</t>
    <rPh sb="0" eb="2">
      <t xml:space="preserve">シンギ </t>
    </rPh>
    <rPh sb="2" eb="3">
      <t xml:space="preserve">アタイ </t>
    </rPh>
    <phoneticPr fontId="2"/>
  </si>
  <si>
    <t>真偽値</t>
    <rPh sb="0" eb="3">
      <t xml:space="preserve">シンギチ </t>
    </rPh>
    <phoneticPr fontId="2"/>
  </si>
  <si>
    <t>日付情報を入力してください</t>
    <rPh sb="0" eb="2">
      <t xml:space="preserve">ヒヅケ </t>
    </rPh>
    <rPh sb="2" eb="4">
      <t xml:space="preserve">ジョウホウヲ </t>
    </rPh>
    <rPh sb="5" eb="7">
      <t xml:space="preserve">ニュウリョク </t>
    </rPh>
    <phoneticPr fontId="2"/>
  </si>
  <si>
    <t>input date yyyy-mm-dd</t>
    <phoneticPr fontId="2"/>
  </si>
  <si>
    <t>a</t>
    <phoneticPr fontId="2"/>
  </si>
  <si>
    <t>RDEDatasetTemplateSheet_test_04</t>
    <phoneticPr fontId="2"/>
  </si>
  <si>
    <t>送状定義/固有情報の項目あり、試料情報共通項目、一般項目あり</t>
    <rPh sb="17" eb="19">
      <t xml:space="preserve">ジョウホウ </t>
    </rPh>
    <rPh sb="19" eb="21">
      <t xml:space="preserve">キョウツウ </t>
    </rPh>
    <rPh sb="21" eb="23">
      <t xml:space="preserve">コウモク </t>
    </rPh>
    <rPh sb="24" eb="28">
      <t xml:space="preserve">イッパンコウモク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</si>
</sst>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49" fontId="4" fillId="0" borderId="1" xfId="0" quotePrefix="1" applyNumberFormat="1" applyFont="1" applyBorder="1" applyAlignment="1">
      <alignment horizontal="left" vertical="center"/>
    </xf>
    <xf numFmtId="0" fontId="4" fillId="0" borderId="1" xfId="0" quotePrefix="1" applyFont="1" applyBorder="1"/>
    <xf numFmtId="14" fontId="4" fillId="0" borderId="1" xfId="0" quotePrefix="1" applyNumberFormat="1" applyFont="1" applyBorder="1"/>
    <xf numFmtId="176" fontId="4" fillId="0" borderId="1" xfId="0" quotePrefix="1" applyNumberFormat="1" applyFont="1" applyBorder="1"/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1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workbookViewId="0">
      <selection activeCell="B5" sqref="B5"/>
    </sheetView>
  </sheetViews>
  <sheetFormatPr baseColWidth="10" defaultColWidth="8.83203125" defaultRowHeight="17"/>
  <cols>
    <col min="1" max="1" width="31.6640625" bestFit="1" customWidth="1"/>
    <col min="2" max="2" width="59.5" customWidth="1"/>
    <col min="3" max="3" width="42.5" bestFit="1" customWidth="1"/>
  </cols>
  <sheetData>
    <row r="1" spans="1:3">
      <c r="A1" s="2" t="s">
        <v>1383</v>
      </c>
      <c r="B1" s="16" t="s">
        <v>1513</v>
      </c>
      <c r="C1" s="31" t="s">
        <v>1384</v>
      </c>
    </row>
    <row r="2" spans="1:3" ht="18">
      <c r="A2" s="2" t="s">
        <v>1385</v>
      </c>
      <c r="B2" s="16" t="s">
        <v>1513</v>
      </c>
      <c r="C2" s="31" t="s">
        <v>1384</v>
      </c>
    </row>
    <row r="3" spans="1:3" ht="18">
      <c r="A3" s="2" t="s">
        <v>1386</v>
      </c>
      <c r="B3" s="16" t="s">
        <v>1513</v>
      </c>
      <c r="C3" s="31" t="s">
        <v>1387</v>
      </c>
    </row>
    <row r="4" spans="1:3">
      <c r="A4" s="2" t="s">
        <v>1388</v>
      </c>
      <c r="B4" s="31" t="s">
        <v>1514</v>
      </c>
      <c r="C4" s="31"/>
    </row>
    <row r="5" spans="1:3" ht="18">
      <c r="A5" s="30"/>
    </row>
    <row r="6" spans="1:3">
      <c r="A6" s="2" t="s">
        <v>1389</v>
      </c>
      <c r="B6" s="39">
        <v>46125</v>
      </c>
      <c r="C6" s="31"/>
    </row>
    <row r="7" spans="1:3">
      <c r="A7" s="2" t="s">
        <v>1390</v>
      </c>
      <c r="B7" s="31" t="s">
        <v>1467</v>
      </c>
      <c r="C7" s="31"/>
    </row>
    <row r="8" spans="1:3">
      <c r="A8" s="2" t="s">
        <v>1391</v>
      </c>
      <c r="B8" s="39">
        <v>46125</v>
      </c>
      <c r="C8" s="31"/>
    </row>
    <row r="9" spans="1:3">
      <c r="A9" s="2" t="s">
        <v>1392</v>
      </c>
      <c r="B9" s="31" t="s">
        <v>1467</v>
      </c>
      <c r="C9" s="31"/>
    </row>
    <row r="13" spans="1:3">
      <c r="A13" t="s">
        <v>1466</v>
      </c>
    </row>
    <row r="15" spans="1:3" ht="18" thickBot="1"/>
    <row r="16" spans="1:3" ht="18" thickTop="1">
      <c r="A16" s="40" t="s">
        <v>1452</v>
      </c>
      <c r="B16" s="41"/>
    </row>
    <row r="17" spans="1:2">
      <c r="A17" s="42"/>
      <c r="B17" s="43"/>
    </row>
    <row r="18" spans="1:2">
      <c r="A18" s="42" t="s">
        <v>1453</v>
      </c>
      <c r="B18" s="43"/>
    </row>
    <row r="19" spans="1:2">
      <c r="A19" s="42" t="s">
        <v>1454</v>
      </c>
      <c r="B19" s="43"/>
    </row>
    <row r="20" spans="1:2">
      <c r="A20" s="42"/>
      <c r="B20" s="43"/>
    </row>
    <row r="21" spans="1:2">
      <c r="A21" s="42" t="s">
        <v>1455</v>
      </c>
      <c r="B21" s="43"/>
    </row>
    <row r="22" spans="1:2">
      <c r="A22" s="42" t="s">
        <v>1456</v>
      </c>
      <c r="B22" s="43"/>
    </row>
    <row r="23" spans="1:2">
      <c r="A23" s="42" t="s">
        <v>1457</v>
      </c>
      <c r="B23" s="43"/>
    </row>
    <row r="24" spans="1:2">
      <c r="A24" s="42" t="s">
        <v>1458</v>
      </c>
      <c r="B24" s="43"/>
    </row>
    <row r="25" spans="1:2">
      <c r="A25" s="42"/>
      <c r="B25" s="43"/>
    </row>
    <row r="26" spans="1:2">
      <c r="A26" s="42" t="s">
        <v>1459</v>
      </c>
      <c r="B26" s="43"/>
    </row>
    <row r="27" spans="1:2">
      <c r="A27" s="42"/>
      <c r="B27" s="43"/>
    </row>
    <row r="28" spans="1:2">
      <c r="A28" s="44"/>
      <c r="B28" s="43" t="s">
        <v>1460</v>
      </c>
    </row>
    <row r="29" spans="1:2">
      <c r="A29" s="42"/>
      <c r="B29" s="43" t="s">
        <v>1461</v>
      </c>
    </row>
    <row r="30" spans="1:2">
      <c r="A30" s="45"/>
      <c r="B30" s="43" t="s">
        <v>1462</v>
      </c>
    </row>
    <row r="31" spans="1:2">
      <c r="A31" s="46"/>
      <c r="B31" s="43" t="s">
        <v>1463</v>
      </c>
    </row>
    <row r="32" spans="1:2">
      <c r="A32" s="42"/>
      <c r="B32" s="43"/>
    </row>
    <row r="33" spans="1:2">
      <c r="A33" s="42"/>
      <c r="B33" s="43"/>
    </row>
    <row r="34" spans="1:2">
      <c r="A34" s="42" t="s">
        <v>1464</v>
      </c>
      <c r="B34" s="43"/>
    </row>
    <row r="35" spans="1:2" ht="18" thickBot="1">
      <c r="A35" s="47" t="s">
        <v>1465</v>
      </c>
      <c r="B35" s="48"/>
    </row>
    <row r="36" spans="1:2" ht="18" thickTop="1"/>
  </sheetData>
  <phoneticPr fontId="2"/>
  <conditionalFormatting sqref="B1:B3">
    <cfRule type="expression" dxfId="30" priority="3">
      <formula>"ISBLANK(B3)"</formula>
    </cfRule>
  </conditionalFormatting>
  <conditionalFormatting sqref="B2:B3">
    <cfRule type="expression" dxfId="29" priority="1" stopIfTrue="1">
      <formula>ISBLANK(B2)</formula>
    </cfRule>
    <cfRule type="expression" dxfId="28" priority="4" stopIfTrue="1">
      <formula>ISBLANK(B2)</formula>
    </cfRule>
  </conditionalFormatting>
  <conditionalFormatting sqref="B1:C1">
    <cfRule type="expression" dxfId="27" priority="7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18" sqref="C18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6" t="s">
        <v>1427</v>
      </c>
      <c r="B3" s="4" t="s">
        <v>44</v>
      </c>
      <c r="C3" s="16" t="s">
        <v>1468</v>
      </c>
      <c r="D3" s="6"/>
      <c r="E3" s="6"/>
      <c r="F3" s="6"/>
      <c r="G3" s="5" t="s">
        <v>1468</v>
      </c>
      <c r="H3" s="5" t="s">
        <v>1468</v>
      </c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 t="s">
        <v>1481</v>
      </c>
      <c r="O3" s="8"/>
      <c r="P3" s="8"/>
      <c r="Q3" s="8"/>
      <c r="R3" s="8"/>
      <c r="S3" s="9" t="s">
        <v>1481</v>
      </c>
    </row>
    <row r="4" spans="1:19">
      <c r="A4" s="67"/>
      <c r="B4" s="4" t="s">
        <v>44</v>
      </c>
      <c r="C4" s="16" t="s">
        <v>1469</v>
      </c>
      <c r="D4" s="6"/>
      <c r="E4" s="6"/>
      <c r="F4" s="6"/>
      <c r="G4" s="5" t="s">
        <v>1469</v>
      </c>
      <c r="H4" s="5" t="s">
        <v>1469</v>
      </c>
      <c r="I4" s="6"/>
      <c r="J4" s="7" t="s">
        <v>1475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>date-time</v>
      </c>
      <c r="M4" s="8"/>
      <c r="N4" s="8" t="s">
        <v>1482</v>
      </c>
      <c r="O4" s="8"/>
      <c r="P4" s="8"/>
      <c r="Q4" s="8"/>
      <c r="R4" s="8"/>
      <c r="S4" s="49" t="s">
        <v>1485</v>
      </c>
    </row>
    <row r="5" spans="1:19">
      <c r="A5" s="67"/>
      <c r="B5" s="4" t="s">
        <v>44</v>
      </c>
      <c r="C5" s="16" t="s">
        <v>1470</v>
      </c>
      <c r="D5" s="6"/>
      <c r="E5" s="6"/>
      <c r="F5" s="6"/>
      <c r="G5" s="5" t="s">
        <v>1470</v>
      </c>
      <c r="H5" s="5" t="s">
        <v>1470</v>
      </c>
      <c r="I5" s="6"/>
      <c r="J5" s="7" t="s">
        <v>1476</v>
      </c>
      <c r="K5" s="32" t="str">
        <f t="shared" si="0"/>
        <v>integer</v>
      </c>
      <c r="L5" s="32" t="str">
        <f t="shared" si="1"/>
        <v/>
      </c>
      <c r="M5" s="8" t="s">
        <v>1479</v>
      </c>
      <c r="N5" s="8" t="s">
        <v>1483</v>
      </c>
      <c r="O5" s="8"/>
      <c r="P5" s="8"/>
      <c r="Q5" s="8"/>
      <c r="R5" s="8"/>
      <c r="S5" s="9" t="s">
        <v>1486</v>
      </c>
    </row>
    <row r="6" spans="1:19">
      <c r="A6" s="67"/>
      <c r="B6" s="4" t="s">
        <v>44</v>
      </c>
      <c r="C6" s="16" t="s">
        <v>1471</v>
      </c>
      <c r="D6" s="6"/>
      <c r="E6" s="6"/>
      <c r="F6" s="6"/>
      <c r="G6" s="5" t="s">
        <v>1471</v>
      </c>
      <c r="H6" s="5" t="s">
        <v>1471</v>
      </c>
      <c r="I6" s="6"/>
      <c r="J6" s="7" t="s">
        <v>1477</v>
      </c>
      <c r="K6" s="32" t="str">
        <f t="shared" si="0"/>
        <v>number</v>
      </c>
      <c r="L6" s="32" t="str">
        <f t="shared" si="1"/>
        <v/>
      </c>
      <c r="M6" s="8" t="s">
        <v>1480</v>
      </c>
      <c r="N6" s="8" t="s">
        <v>1484</v>
      </c>
      <c r="O6" s="8"/>
      <c r="P6" s="8"/>
      <c r="Q6" s="8"/>
      <c r="R6" s="8"/>
      <c r="S6" s="9" t="s">
        <v>1487</v>
      </c>
    </row>
    <row r="7" spans="1:19">
      <c r="A7" s="67"/>
      <c r="B7" s="4" t="s">
        <v>44</v>
      </c>
      <c r="C7" s="16" t="s">
        <v>1472</v>
      </c>
      <c r="D7" s="6"/>
      <c r="E7" s="6"/>
      <c r="F7" s="6"/>
      <c r="G7" s="5" t="s">
        <v>1473</v>
      </c>
      <c r="H7" s="5" t="s">
        <v>1474</v>
      </c>
      <c r="I7" s="6"/>
      <c r="J7" s="7" t="s">
        <v>1478</v>
      </c>
      <c r="K7" s="32" t="str">
        <f t="shared" si="0"/>
        <v>boolean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7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7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7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7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7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7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7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7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7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7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7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7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7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7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7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7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7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7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7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7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7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7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7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7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7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7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7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7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7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7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7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7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7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7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7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8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="119" zoomScaleNormal="119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4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3" t="s">
        <v>9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60" t="str">
        <f>"https://rde.nims.go.jp/rde/dataset-templates/"&amp;説明!B3&amp;"/invoice.schema.json"</f>
        <v>https://rde.nims.go.jp/rde/dataset-templates/RDEDatasetTemplateSheet_test_04/invoice.schema.json</v>
      </c>
      <c r="C2" s="61"/>
      <c r="D2" s="61"/>
      <c r="E2" s="62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6" t="str">
        <f>説明!B4&amp;": 送状定義"</f>
        <v>送状定義/固有情報の項目あり、試料情報共通項目、一般項目あり: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59" t="s">
        <v>5</v>
      </c>
      <c r="B7" s="59" t="s">
        <v>33</v>
      </c>
      <c r="C7" s="4" t="s">
        <v>1402</v>
      </c>
      <c r="D7" s="22" t="s">
        <v>1489</v>
      </c>
      <c r="E7" s="28"/>
      <c r="F7" s="22" t="s">
        <v>1490</v>
      </c>
      <c r="G7" s="22" t="s">
        <v>1489</v>
      </c>
      <c r="H7" s="19" t="s">
        <v>1490</v>
      </c>
      <c r="I7" s="51" t="s">
        <v>1491</v>
      </c>
      <c r="J7" s="19"/>
      <c r="K7" s="23"/>
      <c r="L7" s="8" t="b">
        <v>1</v>
      </c>
      <c r="M7" s="7" t="s">
        <v>1488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>date</v>
      </c>
      <c r="P7" s="38" t="str">
        <f>_xlfn.IFS(M7="textarea","textarea",TRUE,"")</f>
        <v/>
      </c>
      <c r="Q7" s="28"/>
      <c r="R7" s="28"/>
      <c r="S7" s="19"/>
      <c r="T7" s="19"/>
      <c r="U7" s="19" t="s">
        <v>1510</v>
      </c>
      <c r="V7" s="19" t="s">
        <v>1511</v>
      </c>
      <c r="W7" s="19"/>
      <c r="X7" s="19"/>
      <c r="Y7" s="19"/>
      <c r="Z7" s="19"/>
      <c r="AA7" s="19"/>
      <c r="AB7" s="19"/>
      <c r="AC7" s="19"/>
    </row>
    <row r="8" spans="1:29">
      <c r="A8" s="59"/>
      <c r="B8" s="59"/>
      <c r="C8" s="4" t="s">
        <v>1402</v>
      </c>
      <c r="D8" s="22" t="s">
        <v>1492</v>
      </c>
      <c r="E8" s="28"/>
      <c r="F8" s="22" t="s">
        <v>1493</v>
      </c>
      <c r="G8" s="22" t="s">
        <v>1492</v>
      </c>
      <c r="H8" s="19" t="s">
        <v>1493</v>
      </c>
      <c r="I8" s="52">
        <v>1</v>
      </c>
      <c r="J8" s="19" t="s">
        <v>2</v>
      </c>
      <c r="K8" s="23"/>
      <c r="L8" s="8"/>
      <c r="M8" s="7" t="s">
        <v>1476</v>
      </c>
      <c r="N8" s="38" t="str">
        <f t="shared" ref="N8:N17" si="0">_xlfn.IFS(M8="integer","integer",M8="number","number",M8="boolean","boolean",TRUE,"string")</f>
        <v>integer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>
        <v>1</v>
      </c>
      <c r="X8" s="19"/>
      <c r="Y8" s="19"/>
      <c r="Z8" s="19"/>
      <c r="AA8" s="19"/>
      <c r="AB8" s="19"/>
      <c r="AC8" s="19"/>
    </row>
    <row r="9" spans="1:29">
      <c r="A9" s="59"/>
      <c r="B9" s="59"/>
      <c r="C9" s="4" t="s">
        <v>1402</v>
      </c>
      <c r="D9" s="22" t="s">
        <v>1494</v>
      </c>
      <c r="E9" s="28"/>
      <c r="F9" s="22" t="s">
        <v>1495</v>
      </c>
      <c r="G9" s="22" t="s">
        <v>1494</v>
      </c>
      <c r="H9" s="19" t="s">
        <v>1495</v>
      </c>
      <c r="I9" s="50">
        <v>1.2</v>
      </c>
      <c r="J9" s="19"/>
      <c r="K9" s="23"/>
      <c r="L9" s="8"/>
      <c r="M9" s="7" t="s">
        <v>1477</v>
      </c>
      <c r="N9" s="38" t="str">
        <f t="shared" si="0"/>
        <v>number</v>
      </c>
      <c r="O9" s="38" t="str">
        <f t="shared" si="1"/>
        <v/>
      </c>
      <c r="P9" s="38" t="str">
        <f t="shared" si="2"/>
        <v/>
      </c>
      <c r="Q9" s="28"/>
      <c r="R9" s="28"/>
      <c r="S9" s="19">
        <v>1.2</v>
      </c>
      <c r="T9" s="19">
        <v>1.2</v>
      </c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59"/>
      <c r="B10" s="59"/>
      <c r="C10" s="4" t="s">
        <v>1402</v>
      </c>
      <c r="D10" s="22" t="s">
        <v>1496</v>
      </c>
      <c r="E10" s="28"/>
      <c r="F10" s="22" t="s">
        <v>1497</v>
      </c>
      <c r="G10" s="22" t="s">
        <v>1496</v>
      </c>
      <c r="H10" s="19" t="s">
        <v>1497</v>
      </c>
      <c r="I10" s="19" t="s">
        <v>1498</v>
      </c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>
        <v>20</v>
      </c>
      <c r="AB10" s="19"/>
      <c r="AC10" s="19"/>
    </row>
    <row r="11" spans="1:29">
      <c r="A11" s="59"/>
      <c r="B11" s="59"/>
      <c r="C11" s="4" t="s">
        <v>1402</v>
      </c>
      <c r="D11" s="22" t="s">
        <v>1499</v>
      </c>
      <c r="E11" s="28"/>
      <c r="F11" s="22" t="s">
        <v>1500</v>
      </c>
      <c r="G11" s="22" t="s">
        <v>1499</v>
      </c>
      <c r="H11" s="19" t="s">
        <v>1500</v>
      </c>
      <c r="I11" s="19" t="s">
        <v>1501</v>
      </c>
      <c r="J11" s="19"/>
      <c r="K11" s="23"/>
      <c r="L11" s="8"/>
      <c r="M11" s="7" t="s">
        <v>1426</v>
      </c>
      <c r="N11" s="38" t="str">
        <f t="shared" si="0"/>
        <v>string</v>
      </c>
      <c r="O11" s="38" t="str">
        <f t="shared" si="1"/>
        <v/>
      </c>
      <c r="P11" s="38" t="str">
        <f t="shared" si="2"/>
        <v>textarea</v>
      </c>
      <c r="Q11" s="28">
        <v>8</v>
      </c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59"/>
      <c r="B12" s="59"/>
      <c r="C12" s="4" t="s">
        <v>1402</v>
      </c>
      <c r="D12" s="22" t="s">
        <v>1502</v>
      </c>
      <c r="E12" s="28"/>
      <c r="F12" s="22" t="s">
        <v>1503</v>
      </c>
      <c r="G12" s="22" t="s">
        <v>1502</v>
      </c>
      <c r="H12" s="19" t="s">
        <v>1504</v>
      </c>
      <c r="I12" s="19" t="s">
        <v>1512</v>
      </c>
      <c r="J12" s="19"/>
      <c r="K12" s="23"/>
      <c r="L12" s="8"/>
      <c r="M12" s="7" t="s">
        <v>1506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 t="s">
        <v>1505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59"/>
      <c r="B13" s="59"/>
      <c r="C13" s="4" t="s">
        <v>1402</v>
      </c>
      <c r="D13" s="22" t="s">
        <v>1507</v>
      </c>
      <c r="E13" s="28"/>
      <c r="F13" s="22" t="s">
        <v>1508</v>
      </c>
      <c r="G13" s="22" t="s">
        <v>1507</v>
      </c>
      <c r="H13" s="19" t="s">
        <v>1509</v>
      </c>
      <c r="I13" s="19" t="b">
        <v>1</v>
      </c>
      <c r="J13" s="19"/>
      <c r="K13" s="23"/>
      <c r="L13" s="8"/>
      <c r="M13" s="7" t="s">
        <v>1478</v>
      </c>
      <c r="N13" s="38" t="str">
        <f t="shared" si="0"/>
        <v>boolean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59"/>
      <c r="B14" s="59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59"/>
      <c r="B15" s="59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59"/>
      <c r="B16" s="59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59"/>
      <c r="B17" s="59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63" t="s">
        <v>1379</v>
      </c>
      <c r="B18" s="59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64"/>
      <c r="B19" s="59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64"/>
      <c r="B20" s="59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64"/>
      <c r="B21" s="59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64"/>
      <c r="B22" s="59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64"/>
      <c r="B23" s="59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65"/>
      <c r="B24" s="59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63" t="s">
        <v>1380</v>
      </c>
      <c r="B25" s="59" t="s">
        <v>40</v>
      </c>
      <c r="C25" s="4" t="s">
        <v>1402</v>
      </c>
      <c r="D25" s="27" t="str">
        <f>IFERROR(INDEX(sample.general_sample_term!A:H,MATCH($E25,sample.general_sample_term!C:C,FALSE),2),"")</f>
        <v>sample.general.composiiton</v>
      </c>
      <c r="E25" s="21" t="s">
        <v>1136</v>
      </c>
      <c r="F25" s="27" t="str">
        <f>IFERROR(INDEX(sample.general_sample_term!A:H,MATCH($E25,sample.general_sample_term!C:C,FALSE),3),"")</f>
        <v>化学式、組成式、分子式など</v>
      </c>
      <c r="G25" s="27" t="str">
        <f>IFERROR(INDEX(sample.general_sample_term!A:H,MATCH($E25,sample.general_sample_term!C:C,FALSE),4),"")</f>
        <v>Chemical formula, composition formula, molecular formula, etc.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化学式、組成式、分子式などを入力してください</v>
      </c>
      <c r="V25" s="27" t="str">
        <f>IFERROR(INDEX(sample.general_sample_term!A:H,MATCH($E25,sample.general_sample_term!C:C,FALSE),6),"")</f>
        <v>Please enter Chemical formula, composition formula, molecular formula, etc.</v>
      </c>
      <c r="W25" s="28"/>
      <c r="X25" s="28"/>
      <c r="Y25" s="28"/>
      <c r="Z25" s="28"/>
      <c r="AA25" s="28"/>
      <c r="AB25" s="28"/>
      <c r="AC25" s="28"/>
    </row>
    <row r="26" spans="1:29">
      <c r="A26" s="64"/>
      <c r="B26" s="59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64"/>
      <c r="B27" s="59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64"/>
      <c r="B28" s="59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64"/>
      <c r="B29" s="59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64"/>
      <c r="B30" s="59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64"/>
      <c r="B31" s="59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64"/>
      <c r="B32" s="59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65"/>
      <c r="B33" s="59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63" t="s">
        <v>1381</v>
      </c>
      <c r="B34" s="59" t="s">
        <v>41</v>
      </c>
      <c r="C34" s="4" t="s">
        <v>44</v>
      </c>
      <c r="D34" s="27" t="str">
        <f>IFERROR(INDEX(sample.specific_sample_term!A:M,MATCH($E34,sample.specific_sample_term!L:L,FALSE),3),"")</f>
        <v/>
      </c>
      <c r="E34" s="21"/>
      <c r="F34" s="27" t="str">
        <f>IFERROR(INDEX(sample.specific_sample_term!A:M,MATCH($E34,sample.specific_sample_term!L:L,FALSE),12),"")</f>
        <v/>
      </c>
      <c r="G34" s="27" t="str">
        <f>IFERROR(INDEX(sample.specific_sample_term!A:M,MATCH($E34,sample.specific_sample_term!L:L,FALSE),13),"")</f>
        <v/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/>
      </c>
      <c r="V34" s="27" t="str">
        <f>IFERROR(INDEX(sample.specific_sample_term!A:M,MATCH($E34,sample.specific_sample_term!L:L,FALSE),9),"")</f>
        <v/>
      </c>
      <c r="W34" s="28"/>
      <c r="X34" s="28"/>
      <c r="Y34" s="28"/>
      <c r="Z34" s="28"/>
      <c r="AA34" s="28"/>
      <c r="AB34" s="28"/>
      <c r="AC34" s="28"/>
    </row>
    <row r="35" spans="1:29">
      <c r="A35" s="64"/>
      <c r="B35" s="59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64"/>
      <c r="B36" s="59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64"/>
      <c r="B37" s="59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64"/>
      <c r="B38" s="59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64"/>
      <c r="B39" s="59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64"/>
      <c r="B40" s="59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64"/>
      <c r="B41" s="59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65"/>
      <c r="B42" s="59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34:B42"/>
    <mergeCell ref="B7:B17"/>
    <mergeCell ref="A18:A24"/>
    <mergeCell ref="A25:A33"/>
    <mergeCell ref="A34:A42"/>
    <mergeCell ref="B1:E1"/>
    <mergeCell ref="B3:E3"/>
    <mergeCell ref="A7:A17"/>
    <mergeCell ref="B25:B33"/>
    <mergeCell ref="B18:B24"/>
    <mergeCell ref="B2:E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89" zoomScaleNormal="89" workbookViewId="0">
      <pane xSplit="3" ySplit="8" topLeftCell="E9" activePane="bottomRight" state="frozen"/>
      <selection pane="topRight" activeCell="D1" sqref="D1"/>
      <selection pane="bottomLeft" activeCell="A9" sqref="A9"/>
      <selection pane="bottomRight" activeCell="B1" sqref="B1:E1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72" t="s">
        <v>9</v>
      </c>
      <c r="C1" s="72"/>
      <c r="D1" s="72"/>
      <c r="E1" s="72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73" t="str">
        <f>"https://rde.nims.go.jp/rde/dataset-templates/"&amp;説明!B3&amp;"/catalog.schema.json"</f>
        <v>https://rde.nims.go.jp/rde/dataset-templates/RDEDatasetTemplateSheet_test_04/catalog.schema.json</v>
      </c>
      <c r="C2" s="73"/>
      <c r="D2" s="73"/>
      <c r="E2" s="73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4" t="str">
        <f>説明!B4&amp;": データカタログ定義"</f>
        <v>送状定義/固有情報の項目あり、試料情報共通項目、一般項目あり: データカタログ定義</v>
      </c>
      <c r="C3" s="74"/>
      <c r="D3" s="74"/>
      <c r="E3" s="74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73" t="str">
        <f>説明!B1&amp;":データカタログ定義"</f>
        <v>RDEDatasetTemplateSheet_test_04:データカタログ定義</v>
      </c>
      <c r="C4" s="73"/>
      <c r="D4" s="73"/>
      <c r="E4" s="73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73" t="str">
        <f>説明!B2&amp;":data catalog format"</f>
        <v>RDEDatasetTemplateSheet_test_04:data catalog format</v>
      </c>
      <c r="C5" s="73"/>
      <c r="D5" s="73"/>
      <c r="E5" s="73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9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70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70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70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70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70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70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70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70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71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