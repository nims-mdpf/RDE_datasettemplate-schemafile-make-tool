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E6B8C0E0-EC8C-5A40-9FF8-37B87C726A2C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<sst xmlns="http://schemas.openxmlformats.org/spreadsheetml/2006/main" count="2611" uniqueCount="1516">
  <si>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</si>
  <si>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</si>
  <si>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</si>
  <si>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</si>
  <si>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</si>
  <si>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</si>
  <si>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</si>
  <si>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</si>
  <si>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</si>
  <si>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</si>
  <si>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</si>
  <si>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</si>
  <si>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</si>
  <si>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</si>
  <si>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</si>
  <si>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</si>
  <si>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</si>
  <si>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</si>
  <si>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</si>
  <si>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</si>
  <si>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</si>
  <si>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</si>
  <si>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</si>
  <si>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</si>
  <si>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</si>
  <si>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</si>
  <si>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</si>
  <si>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</si>
  <si>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</si>
  <si>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</si>
  <si>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</si>
  <si>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</si>
  <si>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</si>
  <si>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</si>
  <si>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</si>
  <si>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</si>
  <si>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</si>
  <si>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</si>
  <si>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</si>
  <si>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</si>
  <si>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</si>
  <si>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</si>
  <si>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</si>
  <si>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</si>
  <si>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</si>
  <si>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</si>
  <si>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</si>
  <si>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</si>
  <si>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</si>
  <si>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</si>
  <si>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</si>
  <si>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</si>
  <si>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</si>
  <si>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</si>
  <si>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</si>
  <si>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</si>
  <si>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</si>
  <si>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</si>
  <si>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</si>
  <si>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</si>
  <si>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</si>
  <si>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</si>
  <si>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</si>
  <si>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</si>
  <si>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</si>
  <si>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</si>
  <si>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</si>
  <si>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</si>
  <si>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</si>
  <si>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</si>
  <si>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</si>
  <si>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</si>
  <si>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</si>
  <si>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</si>
  <si>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</si>
  <si>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</si>
  <si>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</si>
  <si>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</si>
  <si>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</si>
  <si>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</si>
  <si>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</si>
  <si>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</si>
  <si>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</si>
  <si>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</si>
  <si>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</si>
  <si>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</si>
  <si>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</si>
  <si>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</si>
  <si>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</si>
  <si>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</si>
  <si>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</si>
  <si>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</si>
  <si>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</si>
  <si>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</si>
  <si>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</si>
  <si>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</si>
  <si>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</si>
  <si>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</si>
  <si>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</si>
  <si>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</si>
  <si>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</si>
  <si>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</si>
  <si>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</si>
  <si>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</si>
  <si>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</si>
  <si>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</si>
  <si>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</si>
  <si>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</si>
  <si>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</si>
  <si>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</si>
  <si>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</si>
  <si>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</si>
  <si>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</si>
  <si>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</si>
  <si>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</si>
  <si>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</si>
  <si>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</si>
  <si>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</si>
  <si>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</si>
  <si>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</si>
  <si>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</si>
  <si>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</si>
  <si>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</si>
  <si>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</si>
  <si>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</si>
  <si>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</si>
  <si>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</si>
  <si>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</si>
  <si>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</si>
  <si>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</si>
  <si>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</si>
  <si>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</si>
  <si>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</si>
  <si>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</si>
  <si>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</si>
  <si>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</si>
  <si>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</si>
  <si>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</si>
  <si>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</si>
  <si>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</si>
  <si>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</si>
  <si>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</si>
  <si>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</si>
  <si>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</si>
  <si>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</si>
  <si>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</si>
  <si>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</si>
  <si>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</si>
  <si>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</si>
  <si>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</si>
  <si>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</si>
  <si>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</si>
  <si>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</si>
  <si>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</si>
  <si>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</si>
  <si>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</si>
  <si>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</si>
  <si>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</si>
  <si>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</si>
  <si>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</si>
  <si>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</si>
  <si>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</si>
  <si>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</si>
  <si>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</si>
  <si>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</si>
  <si>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</si>
  <si>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</si>
  <si>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</si>
  <si>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</si>
  <si>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</si>
  <si>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</si>
  <si>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</si>
  <si>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</si>
  <si>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</si>
  <si>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</si>
  <si>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</si>
  <si>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</si>
  <si>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</si>
  <si>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</si>
  <si>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</si>
  <si>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</si>
  <si>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</si>
  <si>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</si>
  <si>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</si>
  <si>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</si>
  <si>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</si>
  <si>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</si>
  <si>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</si>
  <si>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</si>
  <si>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</si>
  <si>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</si>
  <si>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</si>
  <si>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</si>
  <si>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</si>
  <si>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</si>
  <si>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</si>
  <si>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</si>
  <si>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</si>
  <si>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</si>
  <si>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</si>
  <si>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</si>
  <si>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</si>
  <si>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</si>
  <si>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</si>
  <si>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</si>
  <si>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</si>
  <si>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</si>
  <si>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</si>
  <si>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</si>
  <si>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</si>
  <si>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</si>
  <si>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</si>
  <si>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</si>
  <si>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</si>
  <si>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</si>
  <si>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</si>
  <si>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</si>
  <si>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</si>
  <si>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</si>
  <si>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</si>
  <si>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</si>
  <si>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</si>
  <si>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</si>
  <si>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</si>
  <si>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</si>
  <si>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</si>
  <si>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</si>
  <si>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</si>
  <si>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</si>
  <si>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</si>
  <si>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</si>
  <si>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</si>
  <si>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</si>
  <si>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</si>
  <si>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</si>
  <si>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</si>
  <si>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</si>
  <si>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</si>
  <si>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</si>
  <si>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</si>
  <si>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</si>
  <si>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</si>
  <si>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</si>
  <si>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</si>
  <si>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</si>
  <si>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</si>
  <si>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</si>
  <si>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</si>
  <si>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</si>
  <si>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</si>
  <si>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</si>
  <si>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</si>
  <si>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</si>
  <si>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</si>
  <si>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</si>
  <si>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</si>
  <si>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</si>
  <si>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</si>
  <si>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</si>
  <si>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</si>
  <si>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</si>
  <si>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</si>
  <si>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</si>
  <si>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</si>
  <si>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</si>
  <si>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</si>
  <si>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</si>
  <si>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</si>
  <si>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</si>
  <si>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</si>
  <si>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</si>
  <si>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</si>
  <si>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</si>
  <si>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</si>
  <si>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</si>
  <si>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</si>
  <si>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</si>
  <si>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</si>
  <si>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</si>
  <si>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</si>
  <si>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</si>
  <si>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</si>
  <si>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</si>
  <si>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</si>
  <si>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</si>
  <si>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</si>
  <si>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</si>
  <si>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</si>
  <si>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</si>
  <si>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</si>
  <si>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</si>
  <si>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</si>
  <si>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</si>
  <si>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</si>
  <si>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</si>
  <si>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</si>
  <si>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</si>
  <si>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</si>
  <si>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</si>
  <si>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</si>
  <si>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</si>
  <si>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</si>
  <si>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</si>
  <si>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</si>
  <si>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</si>
  <si>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</si>
  <si>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</si>
  <si>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</si>
  <si>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</si>
  <si>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</si>
  <si>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</si>
  <si>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</si>
  <si>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</si>
  <si>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</si>
  <si>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</si>
  <si>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</si>
  <si>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</si>
  <si>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</si>
  <si>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</si>
  <si>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</si>
  <si>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</si>
  <si>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</si>
  <si>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</si>
  <si>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</si>
  <si>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</si>
  <si>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</si>
  <si>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</si>
  <si>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</si>
  <si>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</si>
  <si>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</si>
  <si>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</si>
  <si>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</si>
  <si>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</si>
  <si>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</si>
  <si>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</si>
  <si>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</si>
  <si>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</si>
  <si>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</si>
  <si>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</si>
  <si>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</si>
  <si>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</si>
  <si>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</si>
  <si>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</si>
  <si>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</si>
  <si>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</si>
  <si>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</si>
  <si>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</si>
  <si>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</si>
  <si>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</si>
  <si>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</si>
  <si>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</si>
  <si>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</si>
  <si>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</si>
  <si>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</si>
  <si>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</si>
  <si>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</si>
  <si>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</si>
  <si>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</si>
  <si>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</si>
  <si>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</si>
  <si>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</si>
  <si>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</si>
  <si>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</si>
  <si>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</si>
  <si>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</si>
  <si>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</si>
  <si>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</si>
  <si>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</si>
  <si>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</si>
  <si>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</si>
  <si>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</si>
  <si>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</si>
  <si>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</si>
  <si>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</si>
  <si>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</si>
  <si>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</si>
  <si>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</si>
  <si>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</si>
  <si>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</si>
  <si>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</si>
  <si>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</si>
  <si>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</si>
  <si>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</si>
  <si>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</si>
  <si>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</si>
  <si>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</si>
  <si>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</si>
  <si>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</si>
  <si>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</si>
  <si>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</si>
  <si>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</si>
  <si>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</si>
  <si>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</si>
  <si>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</si>
  <si>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</si>
  <si>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</si>
  <si>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</si>
  <si>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</si>
  <si>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</si>
  <si>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</si>
  <si>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</si>
  <si>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</si>
  <si>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</si>
  <si>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</si>
  <si>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</si>
  <si>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</si>
  <si>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</si>
  <si>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</si>
  <si>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</si>
  <si>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</si>
  <si>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</si>
  <si>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</si>
  <si>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</si>
  <si>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</si>
  <si>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</si>
  <si>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</si>
  <si>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</si>
  <si>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</si>
  <si>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</si>
  <si>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</si>
  <si>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</si>
  <si>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</si>
  <si>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</si>
  <si>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</si>
  <si>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</si>
  <si>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</si>
  <si>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</si>
  <si>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</si>
  <si>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</si>
  <si>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</si>
  <si>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</si>
  <si>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</si>
  <si>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</si>
  <si>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</si>
  <si>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</si>
  <si>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</si>
  <si>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</si>
  <si>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</si>
  <si>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</si>
  <si>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</si>
  <si>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</si>
  <si>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</si>
  <si>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</si>
  <si>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</si>
  <si>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</si>
  <si>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</si>
  <si>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</si>
  <si>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</si>
  <si>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</si>
  <si>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</si>
  <si>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</si>
  <si>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</si>
  <si>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</si>
  <si>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</si>
  <si>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</si>
  <si>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</si>
  <si>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</si>
  <si>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</si>
  <si>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</si>
  <si>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</si>
  <si>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</si>
  <si>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</si>
  <si>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</si>
  <si>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</si>
  <si>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</si>
  <si>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</si>
  <si>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</si>
  <si>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</si>
  <si>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</si>
  <si>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</si>
  <si>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</si>
  <si>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</si>
  <si>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</si>
  <si>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</si>
  <si>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</si>
  <si>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</si>
  <si>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</si>
  <si>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</si>
  <si>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</si>
  <si>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</si>
  <si>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</si>
  <si>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</si>
  <si>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</si>
  <si>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</si>
  <si>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</si>
  <si>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</si>
  <si>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</si>
  <si>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</si>
  <si>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</si>
  <si>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</si>
  <si>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</si>
  <si>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</si>
  <si>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</si>
  <si>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</si>
  <si>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</si>
  <si>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</si>
  <si>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</si>
  <si>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</si>
  <si>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</si>
  <si>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</si>
  <si>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</si>
  <si>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</si>
  <si>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</si>
  <si>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</si>
  <si>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</si>
  <si>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</si>
  <si>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</si>
  <si>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</si>
  <si>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</si>
  <si>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</si>
  <si>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</si>
  <si>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</si>
  <si>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</si>
  <si>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</si>
  <si>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</si>
  <si>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</si>
  <si>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</si>
  <si>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</si>
  <si>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</si>
  <si>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</si>
  <si>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</si>
  <si>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</si>
  <si>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</si>
  <si>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</si>
  <si>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</si>
  <si>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</si>
  <si>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</si>
  <si>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</si>
  <si>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</si>
  <si>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</si>
  <si>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</si>
  <si>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</si>
  <si>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</si>
  <si>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</si>
  <si>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</si>
  <si>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</si>
  <si>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</si>
  <si>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</si>
  <si>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</si>
  <si>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</si>
  <si>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</si>
  <si>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</si>
  <si>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</si>
  <si>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</si>
  <si>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</si>
  <si>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</si>
  <si>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</si>
  <si>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</si>
  <si>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</si>
  <si>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</si>
  <si>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</si>
  <si>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</si>
  <si>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</si>
  <si>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</si>
  <si>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</si>
  <si>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</si>
  <si>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</si>
  <si>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</si>
  <si>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</si>
  <si>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</si>
  <si>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</si>
  <si>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</si>
  <si>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</si>
  <si>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</si>
  <si>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</si>
  <si>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</si>
  <si>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</si>
  <si>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</si>
  <si>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</si>
  <si>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</si>
  <si>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</si>
  <si>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</si>
  <si>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</si>
  <si>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</si>
  <si>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</si>
  <si>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</si>
  <si>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</si>
  <si>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</si>
  <si>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</si>
  <si>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</si>
  <si>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</si>
  <si>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</si>
  <si>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</si>
  <si>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</si>
  <si>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</si>
  <si>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</si>
  <si>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</si>
  <si>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</si>
  <si>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</si>
  <si>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</si>
  <si>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</si>
  <si>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</si>
  <si>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</si>
  <si>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</si>
  <si>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</si>
  <si>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</si>
  <si>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</si>
  <si>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</si>
  <si>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</si>
  <si>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</si>
  <si>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</si>
  <si>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</si>
  <si>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</si>
  <si>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</si>
  <si>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</si>
  <si>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</si>
  <si>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</si>
  <si>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</si>
  <si>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</si>
  <si>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</si>
  <si>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</si>
  <si>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</si>
  <si>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</si>
  <si>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</si>
  <si>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</si>
  <si>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</si>
  <si>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</si>
  <si>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</si>
  <si>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</si>
  <si>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</si>
  <si>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</si>
  <si>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</si>
  <si>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</si>
  <si>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</si>
  <si>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</si>
  <si>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</si>
  <si>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</si>
  <si>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</si>
  <si>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</si>
  <si>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</si>
  <si>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</si>
  <si>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</si>
  <si>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</si>
  <si>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</si>
  <si>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</si>
  <si>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</si>
  <si>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</si>
  <si>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</si>
  <si>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</si>
  <si>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</si>
  <si>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</si>
  <si>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</si>
  <si>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</si>
  <si>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</si>
  <si>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</si>
  <si>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</si>
  <si>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</si>
  <si>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</si>
  <si>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</si>
  <si>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</si>
  <si>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</si>
  <si>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</si>
  <si>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</si>
  <si>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</si>
  <si>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</si>
  <si>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</si>
  <si>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</si>
  <si>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</si>
  <si>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</si>
  <si>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</si>
  <si>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</si>
  <si>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</si>
  <si>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</si>
  <si>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</si>
  <si>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</si>
  <si>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</si>
  <si>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</si>
  <si>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</si>
  <si>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</si>
  <si>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</si>
  <si>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</si>
  <si>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</si>
  <si>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</si>
  <si>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</si>
  <si>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</si>
  <si>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</si>
  <si>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</si>
  <si>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</si>
  <si>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</si>
  <si>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</si>
  <si>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</si>
  <si>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</si>
  <si>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</si>
  <si>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</si>
  <si>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</si>
  <si>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</si>
  <si>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</si>
  <si>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</si>
  <si>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</si>
  <si>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</si>
  <si>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</si>
  <si>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</si>
  <si>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</si>
  <si>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</si>
  <si>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</si>
  <si>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</si>
  <si>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</si>
  <si>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</si>
  <si>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</si>
  <si>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</si>
  <si>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</si>
  <si>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</si>
  <si>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</si>
  <si>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</si>
  <si>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</si>
  <si>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</si>
  <si>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</si>
  <si>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</si>
  <si>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</si>
  <si>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</si>
  <si>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</si>
  <si>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</si>
  <si>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</si>
  <si>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</si>
  <si>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</si>
  <si>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</si>
  <si>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</si>
  <si>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</si>
  <si>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</si>
  <si>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</si>
  <si>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</si>
  <si>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</si>
  <si>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</si>
  <si>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</si>
  <si>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</si>
  <si>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</si>
  <si>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</si>
  <si>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</si>
  <si>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</si>
  <si>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</si>
  <si>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</si>
  <si>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</si>
  <si>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</si>
  <si>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</si>
  <si>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</si>
  <si>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</si>
  <si>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</si>
  <si>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</si>
  <si>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</si>
  <si>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</si>
  <si>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</si>
  <si>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</si>
  <si>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</si>
  <si>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</si>
  <si>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</si>
  <si>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</si>
  <si>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</si>
  <si>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</si>
  <si>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</si>
  <si>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</si>
  <si>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</si>
  <si>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</si>
  <si>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</si>
  <si>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</si>
  <si>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</si>
  <si>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</si>
  <si>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</si>
  <si>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</si>
  <si>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</si>
  <si>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</si>
  <si>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</si>
  <si>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</si>
  <si>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</si>
  <si>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</si>
  <si>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</si>
  <si>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</si>
  <si>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</si>
  <si>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</si>
  <si>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</si>
  <si>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</si>
  <si>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</si>
  <si>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</si>
  <si>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</si>
  <si>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</si>
  <si>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</si>
  <si>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</si>
  <si>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</si>
  <si>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</si>
  <si>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</si>
  <si>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</si>
  <si>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</si>
  <si>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</si>
  <si>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</si>
  <si>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</si>
  <si>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</si>
  <si>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</si>
  <si>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</si>
  <si>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</si>
  <si>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</si>
  <si>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</si>
  <si>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</si>
  <si>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</si>
  <si>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</si>
  <si>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</si>
  <si>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</si>
  <si>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</si>
  <si>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</si>
  <si>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</si>
  <si>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</si>
  <si>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</si>
  <si>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</si>
  <si>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</si>
  <si>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</si>
  <si>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</si>
  <si>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</si>
  <si>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</si>
  <si>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</si>
  <si>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</si>
  <si>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</si>
  <si>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</si>
  <si>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</si>
  <si>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</si>
  <si>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</si>
  <si>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</si>
  <si>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</si>
  <si>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</si>
  <si>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</si>
  <si>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</si>
  <si>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</si>
  <si>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</si>
  <si>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</si>
  <si>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</si>
  <si>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</si>
  <si>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</si>
  <si>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</si>
  <si>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</si>
  <si>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</si>
  <si>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</si>
  <si>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</si>
  <si>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</si>
  <si>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</si>
  <si>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</si>
  <si>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</si>
  <si>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</si>
  <si>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</si>
  <si>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</si>
  <si>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</si>
  <si>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</si>
  <si>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</si>
  <si>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</si>
  <si>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</si>
  <si>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</si>
  <si>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</si>
  <si>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</si>
  <si>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</si>
  <si>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</si>
  <si>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</si>
  <si>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</si>
  <si>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</si>
  <si>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</si>
  <si>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</si>
  <si>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</si>
  <si>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</si>
  <si>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</si>
  <si>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</si>
  <si>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</si>
  <si>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</si>
  <si>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</si>
  <si>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</si>
  <si>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</si>
  <si>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</si>
  <si>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</si>
  <si>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</si>
  <si>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</si>
  <si>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</si>
  <si>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</si>
  <si>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</si>
  <si>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</si>
  <si>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</si>
  <si>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</si>
  <si>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</si>
  <si>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</si>
  <si>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</si>
  <si>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</si>
  <si>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</si>
  <si>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</si>
  <si>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</si>
  <si>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</si>
  <si>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</si>
  <si>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</si>
  <si>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</si>
  <si>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</si>
  <si>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</si>
  <si>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</si>
  <si>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</si>
  <si>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</si>
  <si>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</si>
  <si>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</si>
  <si>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</si>
  <si>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</si>
  <si>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</si>
  <si>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</si>
  <si>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</si>
  <si>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</si>
  <si>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</si>
  <si>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</si>
  <si>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</si>
  <si>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</si>
  <si>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</si>
  <si>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</si>
  <si>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</si>
  <si>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</si>
  <si>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</si>
  <si>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</si>
  <si>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</si>
  <si>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</si>
  <si>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</si>
  <si>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</si>
  <si>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</si>
  <si>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</si>
  <si>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</si>
  <si>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</si>
  <si>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</si>
  <si>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</si>
  <si>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</si>
  <si>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</si>
  <si>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</si>
  <si>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</si>
  <si>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</si>
  <si>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</si>
  <si>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</si>
  <si>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</si>
  <si>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</si>
  <si>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</si>
  <si>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</si>
  <si>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</si>
  <si>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</si>
  <si>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</si>
  <si>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</si>
  <si>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</si>
  <si>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</si>
  <si>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</si>
  <si>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</si>
  <si>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</si>
  <si>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</si>
  <si>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</si>
  <si>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</si>
  <si>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</si>
  <si>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</si>
  <si>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</si>
  <si>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</si>
  <si>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</si>
  <si>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</si>
  <si>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</si>
  <si>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</si>
  <si>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</si>
  <si>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</si>
  <si>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</si>
  <si>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</si>
  <si>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</si>
  <si>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</si>
  <si>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</si>
  <si>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</si>
  <si>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</si>
  <si>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</si>
  <si>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</si>
  <si>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</si>
  <si>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</si>
  <si>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</si>
  <si>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</si>
  <si>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</si>
  <si>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</si>
  <si>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</si>
  <si>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</si>
  <si>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</si>
  <si>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</si>
  <si>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</si>
  <si>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</si>
  <si>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</si>
  <si>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</si>
  <si>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</si>
  <si>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</si>
  <si>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</si>
  <si>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</si>
  <si>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</si>
  <si>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</si>
  <si>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</si>
  <si>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</si>
  <si>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</si>
  <si>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</si>
  <si>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</si>
  <si>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</si>
  <si>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</si>
  <si>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</si>
  <si>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</si>
  <si>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</si>
  <si>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</si>
  <si>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</si>
  <si>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</si>
  <si>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</si>
  <si>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</si>
  <si>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</si>
  <si>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</si>
  <si>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</si>
  <si>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</si>
  <si>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</si>
  <si>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</si>
  <si>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</si>
  <si>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</si>
  <si>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</si>
  <si>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</si>
  <si>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</si>
  <si>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</si>
  <si>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</si>
  <si>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</si>
  <si>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</si>
  <si>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</si>
  <si>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</si>
  <si>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</si>
  <si>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</si>
  <si>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</si>
  <si>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</si>
  <si>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</si>
  <si>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</si>
  <si>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</si>
  <si>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</si>
  <si>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</si>
  <si>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</si>
  <si>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</si>
  <si>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</si>
  <si>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</si>
  <si>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</si>
  <si>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</si>
  <si>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</si>
  <si>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</si>
  <si>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</si>
  <si>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</si>
  <si>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</si>
  <si>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</si>
  <si>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</si>
  <si>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</si>
  <si>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</si>
  <si>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</si>
  <si>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</si>
  <si>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</si>
  <si>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</si>
  <si>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</si>
  <si>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</si>
  <si>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</si>
  <si>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</si>
  <si>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</si>
  <si>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</si>
  <si>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</si>
  <si>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</si>
  <si>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</si>
  <si>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</si>
  <si>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</si>
  <si>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</si>
  <si>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</si>
  <si>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</si>
  <si>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</si>
  <si>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</si>
  <si>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</si>
  <si>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</si>
  <si>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</si>
  <si>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</si>
  <si>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</si>
  <si>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</si>
  <si>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</si>
  <si>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</si>
  <si>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</si>
  <si>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</si>
  <si>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</si>
  <si>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</si>
  <si>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</si>
  <si>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</si>
  <si>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</si>
  <si>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</si>
  <si>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</si>
  <si>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</si>
  <si>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</si>
  <si>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</si>
  <si>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</si>
  <si>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</si>
  <si>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</si>
  <si>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</si>
  <si>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</si>
  <si>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</si>
  <si>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</si>
  <si>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</si>
  <si>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</si>
  <si>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</si>
  <si>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</si>
  <si>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</si>
  <si>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</si>
  <si>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</si>
  <si>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</si>
  <si>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</si>
  <si>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</si>
  <si>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</si>
  <si>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</si>
  <si>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</si>
  <si>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</si>
  <si>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</si>
  <si>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</si>
  <si>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</si>
  <si>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</si>
  <si>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</si>
  <si>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</si>
  <si>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</si>
  <si>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</si>
  <si>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</si>
  <si>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</si>
  <si>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</si>
  <si>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</si>
  <si>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</si>
  <si>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</si>
  <si>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</si>
  <si>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</si>
  <si>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</si>
  <si>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</si>
  <si>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</si>
  <si>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</si>
  <si>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</si>
  <si>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</si>
  <si>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</si>
  <si>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</si>
  <si>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</si>
  <si>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</si>
  <si>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</si>
  <si>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</si>
  <si>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</si>
  <si>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</si>
  <si>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</si>
  <si>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</si>
  <si>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</si>
  <si>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</si>
  <si>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</si>
  <si>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</si>
  <si>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</si>
  <si>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</si>
  <si>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</si>
  <si>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</si>
  <si>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</si>
  <si>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</si>
  <si>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</si>
  <si>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</si>
  <si>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</si>
  <si>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</si>
  <si>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</si>
  <si>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</si>
  <si>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</si>
  <si>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</si>
  <si>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</si>
  <si>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</si>
  <si>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</si>
  <si>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</si>
  <si>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</si>
  <si>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</si>
  <si>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</si>
  <si>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</si>
  <si>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</si>
  <si>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</si>
  <si>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</si>
  <si>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</si>
  <si>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</si>
  <si>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</si>
  <si>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</si>
  <si>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</si>
  <si>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</si>
  <si>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</si>
  <si>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</si>
  <si>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</si>
  <si>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</si>
  <si>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</si>
  <si>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</si>
  <si>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</si>
  <si>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</si>
  <si>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</si>
  <si>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</si>
  <si>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</si>
  <si>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</si>
  <si>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</si>
  <si>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</si>
  <si>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</si>
  <si>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</si>
  <si>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</si>
  <si>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</si>
  <si>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</si>
  <si>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</si>
  <si>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</si>
  <si>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</si>
  <si>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</si>
  <si>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</si>
  <si>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</si>
  <si>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</si>
  <si>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</si>
  <si>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</si>
  <si>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</si>
  <si>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</si>
  <si>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</si>
  <si>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</si>
  <si>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</si>
  <si>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</si>
  <si>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</si>
  <si>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</si>
  <si>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</si>
  <si>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</si>
  <si>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</si>
  <si>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</si>
  <si>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</si>
  <si>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</si>
  <si>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</si>
  <si>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</si>
  <si>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</si>
  <si>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</si>
  <si>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</si>
  <si>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</si>
  <si>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</si>
  <si>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</si>
  <si>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</si>
  <si>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</si>
  <si>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</si>
  <si>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</si>
  <si>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</si>
  <si>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</si>
  <si>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</si>
  <si>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</si>
  <si>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</si>
  <si>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</si>
  <si>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</si>
  <si>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</si>
  <si>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</si>
  <si>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</si>
  <si>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</si>
  <si>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</si>
  <si>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</si>
  <si>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</si>
  <si>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</si>
  <si>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</si>
  <si>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</si>
  <si>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</si>
  <si>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</si>
  <si>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</si>
  <si>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</si>
  <si>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</si>
  <si>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</si>
  <si>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</si>
  <si>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</si>
  <si>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</si>
  <si>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</si>
  <si>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</si>
  <si>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</si>
  <si>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</si>
  <si>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</si>
  <si>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</si>
  <si>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</si>
  <si>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</si>
  <si>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</si>
  <si>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</si>
  <si>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</si>
  <si>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</si>
  <si>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</si>
  <si>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</si>
  <si>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</si>
  <si>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</si>
  <si>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</si>
  <si>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</si>
  <si>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</si>
  <si>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</si>
  <si>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</si>
  <si>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</si>
  <si>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</si>
  <si>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</si>
  <si>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</si>
  <si>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</si>
  <si>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</si>
  <si>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</si>
  <si>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</si>
  <si>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</si>
  <si>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</si>
  <si>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</si>
  <si>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</si>
  <si>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</si>
  <si>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</si>
  <si>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</si>
  <si>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</si>
  <si>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</si>
  <si>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</si>
  <si>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</si>
  <si>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</si>
  <si>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</si>
  <si>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</si>
  <si>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</si>
  <si>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</si>
  <si>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</si>
  <si>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</si>
  <si>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</si>
  <si>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</si>
  <si>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</si>
  <si>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</si>
  <si>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</si>
  <si>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</si>
  <si>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</si>
  <si>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</si>
  <si>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</si>
  <si>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</si>
  <si>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</si>
  <si>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</si>
  <si>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</si>
  <si>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</si>
  <si>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</si>
  <si>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</si>
  <si>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</si>
  <si>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</si>
  <si>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</si>
  <si>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</si>
  <si>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</si>
  <si>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</si>
  <si>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</si>
  <si>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</si>
  <si>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</si>
  <si>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</si>
  <si>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</si>
  <si>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</si>
  <si>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</si>
  <si>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</si>
  <si>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</si>
  <si>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</si>
  <si>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</si>
  <si>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</si>
  <si>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</si>
  <si>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</si>
  <si>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</si>
  <si>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</si>
  <si>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</si>
  <si>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</si>
  <si>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</si>
  <si>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</si>
  <si>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</si>
  <si>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</si>
  <si>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</si>
  <si>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</si>
  <si>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</si>
  <si>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</si>
  <si>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</si>
  <si>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</si>
  <si>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</si>
  <si>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</si>
  <si>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</si>
  <si>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</si>
  <si>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</si>
  <si>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</si>
  <si>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</si>
  <si>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</si>
  <si>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</si>
  <si>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</si>
  <si>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</si>
  <si>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</si>
  <si>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</si>
  <si>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</si>
  <si>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</si>
  <si>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</si>
  <si>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</si>
  <si>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</si>
  <si>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</si>
  <si>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</si>
  <si>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</si>
  <si>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</si>
  <si>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</si>
  <si>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</si>
  <si>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</si>
  <si>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</si>
  <si>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</si>
  <si>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</si>
  <si>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</si>
  <si>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</si>
  <si>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</si>
  <si>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</si>
  <si>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</si>
  <si>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</si>
  <si>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</si>
  <si>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</si>
  <si>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</si>
  <si>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</si>
  <si>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</si>
  <si>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</si>
  <si>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</si>
  <si>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</si>
  <si>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</si>
  <si>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</si>
  <si>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</si>
  <si>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</si>
  <si>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</si>
  <si>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</si>
  <si>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</si>
  <si>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</si>
  <si>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</si>
  <si>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</si>
  <si>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</si>
  <si>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</si>
  <si>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</si>
  <si>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</si>
  <si>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</si>
  <si>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</si>
  <si>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</si>
  <si>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</si>
  <si>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</si>
  <si>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</si>
  <si>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</si>
  <si>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</si>
  <si>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</si>
  <si>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</si>
  <si>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</si>
  <si>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</si>
  <si>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</si>
  <si>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</si>
  <si>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</si>
  <si>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</si>
  <si>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</si>
  <si>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</si>
  <si>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</si>
  <si>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</si>
  <si>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</si>
  <si>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</si>
  <si>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</si>
  <si>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</si>
  <si>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</si>
  <si>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</si>
  <si>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</si>
  <si>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</si>
  <si>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</si>
  <si>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</si>
  <si>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</si>
  <si>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</si>
  <si>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</si>
  <si>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</si>
  <si>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</si>
  <si>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</si>
  <si>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</si>
  <si>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</si>
  <si>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</si>
  <si>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</si>
  <si>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</si>
  <si>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</si>
  <si>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</si>
  <si>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</si>
  <si>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</si>
  <si>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</si>
  <si>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</si>
  <si>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</si>
  <si>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</si>
  <si>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</si>
  <si>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</si>
  <si>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</si>
  <si>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</si>
  <si>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</si>
  <si>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</si>
  <si>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</si>
  <si>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</si>
  <si>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</si>
  <si>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</si>
  <si>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</si>
  <si>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</si>
  <si>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</si>
  <si>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</si>
  <si>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</si>
  <si>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</si>
  <si>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</si>
  <si>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</si>
  <si>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</si>
  <si>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</si>
  <si>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</si>
  <si>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</si>
  <si>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</si>
  <si>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</si>
  <si>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</si>
  <si>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</si>
  <si>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</si>
  <si>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</si>
  <si>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</si>
  <si>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</si>
  <si>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</si>
  <si>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</si>
  <si>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</si>
  <si>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</si>
  <si>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</si>
  <si>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</si>
  <si>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</si>
  <si>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</si>
  <si>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</si>
  <si>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</si>
  <si>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</si>
  <si>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</si>
  <si>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</si>
  <si>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</si>
  <si>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</si>
  <si>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</si>
  <si>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</si>
  <si>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</si>
  <si>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</si>
  <si>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</si>
  <si>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</si>
  <si>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</si>
  <si>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</si>
  <si>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</si>
  <si>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</si>
  <si>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</si>
  <si>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</si>
  <si>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</si>
  <si>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</si>
  <si>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</si>
  <si>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</si>
  <si>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</si>
  <si>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</si>
  <si>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</si>
  <si>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</si>
  <si>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</si>
  <si>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</si>
  <si>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</si>
  <si>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</si>
  <si>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</si>
  <si>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</si>
  <si>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RDEDatasetTemplateSheet_test_05</t>
    <phoneticPr fontId="2"/>
  </si>
  <si>
    <t>有機材料/CAS番号</t>
  </si>
  <si>
    <t>送状定義/固有情報の項目あり、試料情報共通項目あり、一般項目あり、分類別項目あり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6" eb="30">
      <t xml:space="preserve">イッパンコウモク </t>
    </rPh>
    <rPh sb="33" eb="36">
      <t xml:space="preserve">ブンルイベツ </t>
    </rPh>
    <rPh sb="36" eb="38">
      <t xml:space="preserve">コウモク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</si>
</sst>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1515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0" t="s">
        <v>9</v>
      </c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6" t="str">
        <f>"https://rde.nims.go.jp/rde/dataset-templates/"&amp;説明!B3&amp;"/invoice.schema.json"</f>
        <v>https://rde.nims.go.jp/rde/dataset-templates/RDEDatasetTemplateSheet_test_05/invoice.schema.json</v>
      </c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3" t="str">
        <f>説明!B4&amp;": 送状定義"</f>
        <v>送状定義/固有情報の項目あり、試料情報共通項目あり、一般項目あり、分類別項目あり: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6"/>
      <c r="B8" s="56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6"/>
      <c r="B9" s="56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6"/>
      <c r="B10" s="56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6"/>
      <c r="B11" s="56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6"/>
      <c r="B12" s="56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6"/>
      <c r="B13" s="56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6"/>
      <c r="B14" s="56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7" t="s">
        <v>1379</v>
      </c>
      <c r="B18" s="56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 t="s">
        <v>1380</v>
      </c>
      <c r="B25" s="56" t="s">
        <v>40</v>
      </c>
      <c r="C25" s="4" t="s">
        <v>1402</v>
      </c>
      <c r="D25" s="27" t="str">
        <f>IFERROR(INDEX(sample.general_sample_term!A:H,MATCH($E25,sample.general_sample_term!C:C,FALSE),2),"")</f>
        <v>sample.general.composiiton</v>
      </c>
      <c r="E25" s="21" t="s">
        <v>1136</v>
      </c>
      <c r="F25" s="27" t="str">
        <f>IFERROR(INDEX(sample.general_sample_term!A:H,MATCH($E25,sample.general_sample_term!C:C,FALSE),3),"")</f>
        <v>化学式、組成式、分子式など</v>
      </c>
      <c r="G25" s="27" t="str">
        <f>IFERROR(INDEX(sample.general_sample_term!A:H,MATCH($E25,sample.general_sample_term!C:C,FALSE),4),"")</f>
        <v>Chemical formula, composition formula, molecular formula, etc.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化学式、組成式、分子式などを入力してください</v>
      </c>
      <c r="V25" s="27" t="str">
        <f>IFERROR(INDEX(sample.general_sample_term!A:H,MATCH($E25,sample.general_sample_term!C:C,FALSE),6),"")</f>
        <v>Please enter Chemical formula, composition formula, molecular formula, etc.</v>
      </c>
      <c r="W25" s="28"/>
      <c r="X25" s="28"/>
      <c r="Y25" s="28"/>
      <c r="Z25" s="28"/>
      <c r="AA25" s="28"/>
      <c r="AB25" s="28"/>
      <c r="AC25" s="28"/>
    </row>
    <row r="26" spans="1:29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7" t="s">
        <v>1381</v>
      </c>
      <c r="B34" s="56" t="s">
        <v>41</v>
      </c>
      <c r="C34" s="4" t="s">
        <v>1402</v>
      </c>
      <c r="D34" s="27" t="str">
        <f>IFERROR(INDEX(sample.specific_sample_term!A:M,MATCH($E34,sample.specific_sample_term!L:L,FALSE),3),"")</f>
        <v>sample.specific.organic.cas-number</v>
      </c>
      <c r="E34" s="21" t="s">
        <v>1514</v>
      </c>
      <c r="F34" s="27" t="str">
        <f>IFERROR(INDEX(sample.specific_sample_term!A:M,MATCH($E34,sample.specific_sample_term!L:L,FALSE),12),"")</f>
        <v>有機材料/CAS番号</v>
      </c>
      <c r="G34" s="27" t="str">
        <f>IFERROR(INDEX(sample.specific_sample_term!A:M,MATCH($E34,sample.specific_sample_term!L:L,FALSE),13),"")</f>
        <v>organic material/CAS Number</v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>CAS番号を入力してください</v>
      </c>
      <c r="V34" s="27" t="str">
        <f>IFERROR(INDEX(sample.specific_sample_term!A:M,MATCH($E34,sample.specific_sample_term!L:L,FALSE),9),"")</f>
        <v>Please enter CAS Number</v>
      </c>
      <c r="W34" s="28"/>
      <c r="X34" s="28"/>
      <c r="Y34" s="28"/>
      <c r="Z34" s="28"/>
      <c r="AA34" s="28"/>
      <c r="AB34" s="28"/>
      <c r="AC34" s="28"/>
    </row>
    <row r="35" spans="1:29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https://rde.nims.go.jp/rde/dataset-templates/RDEDatasetTemplateSheet_test_05/catalog.schema.json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送状定義/固有情報の項目あり、試料情報共通項目あり、一般項目あり、分類別項目あり: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RDEDatasetTemplateSheet_test_05:データカタログ定義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RDEDatasetTemplateSheet_test_05:data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