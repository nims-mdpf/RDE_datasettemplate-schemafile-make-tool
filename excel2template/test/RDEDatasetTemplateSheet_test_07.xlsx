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2DB13661-F794-3D4C-BB9E-111EF6AF1753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<sst xmlns="http://schemas.openxmlformats.org/spreadsheetml/2006/main" count="2610" uniqueCount="1515">
  <si>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</si>
  <si>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</si>
  <si>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</si>
  <si>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</si>
  <si>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</si>
  <si>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</si>
  <si>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</si>
  <si>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</si>
  <si>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</si>
  <si>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</si>
  <si>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</si>
  <si>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</si>
  <si>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</si>
  <si>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</si>
  <si>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</si>
  <si>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</si>
  <si>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</si>
  <si>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</si>
  <si>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</si>
  <si>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</si>
  <si>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</si>
  <si>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</si>
  <si>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</si>
  <si>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</si>
  <si>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</si>
  <si>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</si>
  <si>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</si>
  <si>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</si>
  <si>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</si>
  <si>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</si>
  <si>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</si>
  <si>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</si>
  <si>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</si>
  <si>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</si>
  <si>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</si>
  <si>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</si>
  <si>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</si>
  <si>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</si>
  <si>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</si>
  <si>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</si>
  <si>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</si>
  <si>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</si>
  <si>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</si>
  <si>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</si>
  <si>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</si>
  <si>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</si>
  <si>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</si>
  <si>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</si>
  <si>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</si>
  <si>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</si>
  <si>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</si>
  <si>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</si>
  <si>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</si>
  <si>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</si>
  <si>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</si>
  <si>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</si>
  <si>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</si>
  <si>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</si>
  <si>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</si>
  <si>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</si>
  <si>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</si>
  <si>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</si>
  <si>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</si>
  <si>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</si>
  <si>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</si>
  <si>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</si>
  <si>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</si>
  <si>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</si>
  <si>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</si>
  <si>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</si>
  <si>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</si>
  <si>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</si>
  <si>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</si>
  <si>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</si>
  <si>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</si>
  <si>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</si>
  <si>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</si>
  <si>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</si>
  <si>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</si>
  <si>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</si>
  <si>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</si>
  <si>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</si>
  <si>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</si>
  <si>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</si>
  <si>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</si>
  <si>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</si>
  <si>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</si>
  <si>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</si>
  <si>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</si>
  <si>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</si>
  <si>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</si>
  <si>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</si>
  <si>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</si>
  <si>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</si>
  <si>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</si>
  <si>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</si>
  <si>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</si>
  <si>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</si>
  <si>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</si>
  <si>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</si>
  <si>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</si>
  <si>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</si>
  <si>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</si>
  <si>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</si>
  <si>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</si>
  <si>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</si>
  <si>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</si>
  <si>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</si>
  <si>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</si>
  <si>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</si>
  <si>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</si>
  <si>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</si>
  <si>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</si>
  <si>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</si>
  <si>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</si>
  <si>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</si>
  <si>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</si>
  <si>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</si>
  <si>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</si>
  <si>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</si>
  <si>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</si>
  <si>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</si>
  <si>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</si>
  <si>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</si>
  <si>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</si>
  <si>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</si>
  <si>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</si>
  <si>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</si>
  <si>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</si>
  <si>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</si>
  <si>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</si>
  <si>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</si>
  <si>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</si>
  <si>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</si>
  <si>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</si>
  <si>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</si>
  <si>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</si>
  <si>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</si>
  <si>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</si>
  <si>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</si>
  <si>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</si>
  <si>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</si>
  <si>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</si>
  <si>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</si>
  <si>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</si>
  <si>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</si>
  <si>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</si>
  <si>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</si>
  <si>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</si>
  <si>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</si>
  <si>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</si>
  <si>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</si>
  <si>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</si>
  <si>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</si>
  <si>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</si>
  <si>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</si>
  <si>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</si>
  <si>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</si>
  <si>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</si>
  <si>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</si>
  <si>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</si>
  <si>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</si>
  <si>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</si>
  <si>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</si>
  <si>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</si>
  <si>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</si>
  <si>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</si>
  <si>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</si>
  <si>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</si>
  <si>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</si>
  <si>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</si>
  <si>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</si>
  <si>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</si>
  <si>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</si>
  <si>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</si>
  <si>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</si>
  <si>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</si>
  <si>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</si>
  <si>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</si>
  <si>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</si>
  <si>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</si>
  <si>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</si>
  <si>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</si>
  <si>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</si>
  <si>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</si>
  <si>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</si>
  <si>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</si>
  <si>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</si>
  <si>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</si>
  <si>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</si>
  <si>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</si>
  <si>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</si>
  <si>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</si>
  <si>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</si>
  <si>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</si>
  <si>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</si>
  <si>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</si>
  <si>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</si>
  <si>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</si>
  <si>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</si>
  <si>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</si>
  <si>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</si>
  <si>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</si>
  <si>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</si>
  <si>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</si>
  <si>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</si>
  <si>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</si>
  <si>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</si>
  <si>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</si>
  <si>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</si>
  <si>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</si>
  <si>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</si>
  <si>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</si>
  <si>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</si>
  <si>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</si>
  <si>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</si>
  <si>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</si>
  <si>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</si>
  <si>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</si>
  <si>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</si>
  <si>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</si>
  <si>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</si>
  <si>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</si>
  <si>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</si>
  <si>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</si>
  <si>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</si>
  <si>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</si>
  <si>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</si>
  <si>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</si>
  <si>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</si>
  <si>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</si>
  <si>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</si>
  <si>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</si>
  <si>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</si>
  <si>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</si>
  <si>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</si>
  <si>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</si>
  <si>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</si>
  <si>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</si>
  <si>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</si>
  <si>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</si>
  <si>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</si>
  <si>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</si>
  <si>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</si>
  <si>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</si>
  <si>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</si>
  <si>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</si>
  <si>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</si>
  <si>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</si>
  <si>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</si>
  <si>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</si>
  <si>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</si>
  <si>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</si>
  <si>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</si>
  <si>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</si>
  <si>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</si>
  <si>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</si>
  <si>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</si>
  <si>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</si>
  <si>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</si>
  <si>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</si>
  <si>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</si>
  <si>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</si>
  <si>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</si>
  <si>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</si>
  <si>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</si>
  <si>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</si>
  <si>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</si>
  <si>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</si>
  <si>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</si>
  <si>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</si>
  <si>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</si>
  <si>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</si>
  <si>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</si>
  <si>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</si>
  <si>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</si>
  <si>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</si>
  <si>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</si>
  <si>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</si>
  <si>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</si>
  <si>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</si>
  <si>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</si>
  <si>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</si>
  <si>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</si>
  <si>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</si>
  <si>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</si>
  <si>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</si>
  <si>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</si>
  <si>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</si>
  <si>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</si>
  <si>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</si>
  <si>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</si>
  <si>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</si>
  <si>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</si>
  <si>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</si>
  <si>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</si>
  <si>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</si>
  <si>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</si>
  <si>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</si>
  <si>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</si>
  <si>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</si>
  <si>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</si>
  <si>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</si>
  <si>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</si>
  <si>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</si>
  <si>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</si>
  <si>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</si>
  <si>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</si>
  <si>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</si>
  <si>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</si>
  <si>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</si>
  <si>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</si>
  <si>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</si>
  <si>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</si>
  <si>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</si>
  <si>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</si>
  <si>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</si>
  <si>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</si>
  <si>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</si>
  <si>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</si>
  <si>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</si>
  <si>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</si>
  <si>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</si>
  <si>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</si>
  <si>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</si>
  <si>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</si>
  <si>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</si>
  <si>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</si>
  <si>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</si>
  <si>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</si>
  <si>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</si>
  <si>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</si>
  <si>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</si>
  <si>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</si>
  <si>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</si>
  <si>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</si>
  <si>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</si>
  <si>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</si>
  <si>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</si>
  <si>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</si>
  <si>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</si>
  <si>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</si>
  <si>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</si>
  <si>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</si>
  <si>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</si>
  <si>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</si>
  <si>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</si>
  <si>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</si>
  <si>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</si>
  <si>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</si>
  <si>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</si>
  <si>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</si>
  <si>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</si>
  <si>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</si>
  <si>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</si>
  <si>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</si>
  <si>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</si>
  <si>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</si>
  <si>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</si>
  <si>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</si>
  <si>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</si>
  <si>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</si>
  <si>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</si>
  <si>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</si>
  <si>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</si>
  <si>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</si>
  <si>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</si>
  <si>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</si>
  <si>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</si>
  <si>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</si>
  <si>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</si>
  <si>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</si>
  <si>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</si>
  <si>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</si>
  <si>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</si>
  <si>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</si>
  <si>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</si>
  <si>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</si>
  <si>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</si>
  <si>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</si>
  <si>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</si>
  <si>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</si>
  <si>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</si>
  <si>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</si>
  <si>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</si>
  <si>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</si>
  <si>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</si>
  <si>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</si>
  <si>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</si>
  <si>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</si>
  <si>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</si>
  <si>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</si>
  <si>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</si>
  <si>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</si>
  <si>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</si>
  <si>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</si>
  <si>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</si>
  <si>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</si>
  <si>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</si>
  <si>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</si>
  <si>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</si>
  <si>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</si>
  <si>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</si>
  <si>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</si>
  <si>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</si>
  <si>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</si>
  <si>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</si>
  <si>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</si>
  <si>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</si>
  <si>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</si>
  <si>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</si>
  <si>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</si>
  <si>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</si>
  <si>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</si>
  <si>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</si>
  <si>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</si>
  <si>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</si>
  <si>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</si>
  <si>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</si>
  <si>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</si>
  <si>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</si>
  <si>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</si>
  <si>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</si>
  <si>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</si>
  <si>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</si>
  <si>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</si>
  <si>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</si>
  <si>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</si>
  <si>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</si>
  <si>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</si>
  <si>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</si>
  <si>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</si>
  <si>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</si>
  <si>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</si>
  <si>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</si>
  <si>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</si>
  <si>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</si>
  <si>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</si>
  <si>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</si>
  <si>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</si>
  <si>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</si>
  <si>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</si>
  <si>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</si>
  <si>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</si>
  <si>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</si>
  <si>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</si>
  <si>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</si>
  <si>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</si>
  <si>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</si>
  <si>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</si>
  <si>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</si>
  <si>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</si>
  <si>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</si>
  <si>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</si>
  <si>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</si>
  <si>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</si>
  <si>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</si>
  <si>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</si>
  <si>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</si>
  <si>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</si>
  <si>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</si>
  <si>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</si>
  <si>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</si>
  <si>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</si>
  <si>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</si>
  <si>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</si>
  <si>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</si>
  <si>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</si>
  <si>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</si>
  <si>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</si>
  <si>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</si>
  <si>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</si>
  <si>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</si>
  <si>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</si>
  <si>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</si>
  <si>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</si>
  <si>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</si>
  <si>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</si>
  <si>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</si>
  <si>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</si>
  <si>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</si>
  <si>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</si>
  <si>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</si>
  <si>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</si>
  <si>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</si>
  <si>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</si>
  <si>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</si>
  <si>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</si>
  <si>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</si>
  <si>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</si>
  <si>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</si>
  <si>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</si>
  <si>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</si>
  <si>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</si>
  <si>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</si>
  <si>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</si>
  <si>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</si>
  <si>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</si>
  <si>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</si>
  <si>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</si>
  <si>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</si>
  <si>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</si>
  <si>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</si>
  <si>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</si>
  <si>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</si>
  <si>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</si>
  <si>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</si>
  <si>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</si>
  <si>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</si>
  <si>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</si>
  <si>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</si>
  <si>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</si>
  <si>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</si>
  <si>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</si>
  <si>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</si>
  <si>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</si>
  <si>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</si>
  <si>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</si>
  <si>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</si>
  <si>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</si>
  <si>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</si>
  <si>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</si>
  <si>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</si>
  <si>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</si>
  <si>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</si>
  <si>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</si>
  <si>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</si>
  <si>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</si>
  <si>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</si>
  <si>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</si>
  <si>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</si>
  <si>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</si>
  <si>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</si>
  <si>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</si>
  <si>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</si>
  <si>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</si>
  <si>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</si>
  <si>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</si>
  <si>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</si>
  <si>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</si>
  <si>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</si>
  <si>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</si>
  <si>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</si>
  <si>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</si>
  <si>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</si>
  <si>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</si>
  <si>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</si>
  <si>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</si>
  <si>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</si>
  <si>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</si>
  <si>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</si>
  <si>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</si>
  <si>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</si>
  <si>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</si>
  <si>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</si>
  <si>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</si>
  <si>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</si>
  <si>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</si>
  <si>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</si>
  <si>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</si>
  <si>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</si>
  <si>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</si>
  <si>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</si>
  <si>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</si>
  <si>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</si>
  <si>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</si>
  <si>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</si>
  <si>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</si>
  <si>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</si>
  <si>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</si>
  <si>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</si>
  <si>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</si>
  <si>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</si>
  <si>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</si>
  <si>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</si>
  <si>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</si>
  <si>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</si>
  <si>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</si>
  <si>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</si>
  <si>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</si>
  <si>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</si>
  <si>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</si>
  <si>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</si>
  <si>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</si>
  <si>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</si>
  <si>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</si>
  <si>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</si>
  <si>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</si>
  <si>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</si>
  <si>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</si>
  <si>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</si>
  <si>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</si>
  <si>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</si>
  <si>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</si>
  <si>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</si>
  <si>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</si>
  <si>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</si>
  <si>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</si>
  <si>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</si>
  <si>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</si>
  <si>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</si>
  <si>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</si>
  <si>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</si>
  <si>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</si>
  <si>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</si>
  <si>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</si>
  <si>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</si>
  <si>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</si>
  <si>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</si>
  <si>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</si>
  <si>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</si>
  <si>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</si>
  <si>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</si>
  <si>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</si>
  <si>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</si>
  <si>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</si>
  <si>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</si>
  <si>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</si>
  <si>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</si>
  <si>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</si>
  <si>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</si>
  <si>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</si>
  <si>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</si>
  <si>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</si>
  <si>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</si>
  <si>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</si>
  <si>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</si>
  <si>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</si>
  <si>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</si>
  <si>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</si>
  <si>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</si>
  <si>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</si>
  <si>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</si>
  <si>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</si>
  <si>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</si>
  <si>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</si>
  <si>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</si>
  <si>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</si>
  <si>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</si>
  <si>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</si>
  <si>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</si>
  <si>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</si>
  <si>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</si>
  <si>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</si>
  <si>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</si>
  <si>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</si>
  <si>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</si>
  <si>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</si>
  <si>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</si>
  <si>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</si>
  <si>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</si>
  <si>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</si>
  <si>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</si>
  <si>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</si>
  <si>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</si>
  <si>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</si>
  <si>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</si>
  <si>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</si>
  <si>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</si>
  <si>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</si>
  <si>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</si>
  <si>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</si>
  <si>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</si>
  <si>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</si>
  <si>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</si>
  <si>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</si>
  <si>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</si>
  <si>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</si>
  <si>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</si>
  <si>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</si>
  <si>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</si>
  <si>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</si>
  <si>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</si>
  <si>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</si>
  <si>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</si>
  <si>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</si>
  <si>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</si>
  <si>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</si>
  <si>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</si>
  <si>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</si>
  <si>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</si>
  <si>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</si>
  <si>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</si>
  <si>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</si>
  <si>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</si>
  <si>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</si>
  <si>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</si>
  <si>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</si>
  <si>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</si>
  <si>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</si>
  <si>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</si>
  <si>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</si>
  <si>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</si>
  <si>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</si>
  <si>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</si>
  <si>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</si>
  <si>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</si>
  <si>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</si>
  <si>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</si>
  <si>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</si>
  <si>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</si>
  <si>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</si>
  <si>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</si>
  <si>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</si>
  <si>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</si>
  <si>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</si>
  <si>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</si>
  <si>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</si>
  <si>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</si>
  <si>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</si>
  <si>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</si>
  <si>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</si>
  <si>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</si>
  <si>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</si>
  <si>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</si>
  <si>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</si>
  <si>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</si>
  <si>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</si>
  <si>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</si>
  <si>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</si>
  <si>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</si>
  <si>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</si>
  <si>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</si>
  <si>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</si>
  <si>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</si>
  <si>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</si>
  <si>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</si>
  <si>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</si>
  <si>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</si>
  <si>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</si>
  <si>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</si>
  <si>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</si>
  <si>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</si>
  <si>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</si>
  <si>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</si>
  <si>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</si>
  <si>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</si>
  <si>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</si>
  <si>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</si>
  <si>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</si>
  <si>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</si>
  <si>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</si>
  <si>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</si>
  <si>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</si>
  <si>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</si>
  <si>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</si>
  <si>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</si>
  <si>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</si>
  <si>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</si>
  <si>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</si>
  <si>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</si>
  <si>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</si>
  <si>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</si>
  <si>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</si>
  <si>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</si>
  <si>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</si>
  <si>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</si>
  <si>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</si>
  <si>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</si>
  <si>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</si>
  <si>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</si>
  <si>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</si>
  <si>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</si>
  <si>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</si>
  <si>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</si>
  <si>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</si>
  <si>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</si>
  <si>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</si>
  <si>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</si>
  <si>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</si>
  <si>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</si>
  <si>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</si>
  <si>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</si>
  <si>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</si>
  <si>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</si>
  <si>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</si>
  <si>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</si>
  <si>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</si>
  <si>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</si>
  <si>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</si>
  <si>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</si>
  <si>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</si>
  <si>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</si>
  <si>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</si>
  <si>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</si>
  <si>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</si>
  <si>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</si>
  <si>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</si>
  <si>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</si>
  <si>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</si>
  <si>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</si>
  <si>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</si>
  <si>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</si>
  <si>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</si>
  <si>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</si>
  <si>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</si>
  <si>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</si>
  <si>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</si>
  <si>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</si>
  <si>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</si>
  <si>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</si>
  <si>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</si>
  <si>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</si>
  <si>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</si>
  <si>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</si>
  <si>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</si>
  <si>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</si>
  <si>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</si>
  <si>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</si>
  <si>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</si>
  <si>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</si>
  <si>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</si>
  <si>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</si>
  <si>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</si>
  <si>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</si>
  <si>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</si>
  <si>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</si>
  <si>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</si>
  <si>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</si>
  <si>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</si>
  <si>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</si>
  <si>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</si>
  <si>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</si>
  <si>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</si>
  <si>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</si>
  <si>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</si>
  <si>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</si>
  <si>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</si>
  <si>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</si>
  <si>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</si>
  <si>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</si>
  <si>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</si>
  <si>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</si>
  <si>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</si>
  <si>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</si>
  <si>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</si>
  <si>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</si>
  <si>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</si>
  <si>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</si>
  <si>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</si>
  <si>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</si>
  <si>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</si>
  <si>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</si>
  <si>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</si>
  <si>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</si>
  <si>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</si>
  <si>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</si>
  <si>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</si>
  <si>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</si>
  <si>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</si>
  <si>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</si>
  <si>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</si>
  <si>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</si>
  <si>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</si>
  <si>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</si>
  <si>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</si>
  <si>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</si>
  <si>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</si>
  <si>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</si>
  <si>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</si>
  <si>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</si>
  <si>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</si>
  <si>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</si>
  <si>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</si>
  <si>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</si>
  <si>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</si>
  <si>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</si>
  <si>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</si>
  <si>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</si>
  <si>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</si>
  <si>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</si>
  <si>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</si>
  <si>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</si>
  <si>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</si>
  <si>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</si>
  <si>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</si>
  <si>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</si>
  <si>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</si>
  <si>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</si>
  <si>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</si>
  <si>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</si>
  <si>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</si>
  <si>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</si>
  <si>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</si>
  <si>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</si>
  <si>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</si>
  <si>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</si>
  <si>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</si>
  <si>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</si>
  <si>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</si>
  <si>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</si>
  <si>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</si>
  <si>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</si>
  <si>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</si>
  <si>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</si>
  <si>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</si>
  <si>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</si>
  <si>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</si>
  <si>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</si>
  <si>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</si>
  <si>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</si>
  <si>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</si>
  <si>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</si>
  <si>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</si>
  <si>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</si>
  <si>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</si>
  <si>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</si>
  <si>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</si>
  <si>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</si>
  <si>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</si>
  <si>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</si>
  <si>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</si>
  <si>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</si>
  <si>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</si>
  <si>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</si>
  <si>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</si>
  <si>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</si>
  <si>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</si>
  <si>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</si>
  <si>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</si>
  <si>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</si>
  <si>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</si>
  <si>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</si>
  <si>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</si>
  <si>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</si>
  <si>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</si>
  <si>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</si>
  <si>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</si>
  <si>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</si>
  <si>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</si>
  <si>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</si>
  <si>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</si>
  <si>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</si>
  <si>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</si>
  <si>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</si>
  <si>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</si>
  <si>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</si>
  <si>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</si>
  <si>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</si>
  <si>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</si>
  <si>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</si>
  <si>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</si>
  <si>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</si>
  <si>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</si>
  <si>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</si>
  <si>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</si>
  <si>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</si>
  <si>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</si>
  <si>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</si>
  <si>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</si>
  <si>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</si>
  <si>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</si>
  <si>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</si>
  <si>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</si>
  <si>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</si>
  <si>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</si>
  <si>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</si>
  <si>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</si>
  <si>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</si>
  <si>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</si>
  <si>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</si>
  <si>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</si>
  <si>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</si>
  <si>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</si>
  <si>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</si>
  <si>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</si>
  <si>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</si>
  <si>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</si>
  <si>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</si>
  <si>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</si>
  <si>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</si>
  <si>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</si>
  <si>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</si>
  <si>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</si>
  <si>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</si>
  <si>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</si>
  <si>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</si>
  <si>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</si>
  <si>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</si>
  <si>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</si>
  <si>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</si>
  <si>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</si>
  <si>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</si>
  <si>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</si>
  <si>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</si>
  <si>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</si>
  <si>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</si>
  <si>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</si>
  <si>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</si>
  <si>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</si>
  <si>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</si>
  <si>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</si>
  <si>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</si>
  <si>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</si>
  <si>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</si>
  <si>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</si>
  <si>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</si>
  <si>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</si>
  <si>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</si>
  <si>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</si>
  <si>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</si>
  <si>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</si>
  <si>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</si>
  <si>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</si>
  <si>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</si>
  <si>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</si>
  <si>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</si>
  <si>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</si>
  <si>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</si>
  <si>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</si>
  <si>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</si>
  <si>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</si>
  <si>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</si>
  <si>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</si>
  <si>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</si>
  <si>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</si>
  <si>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</si>
  <si>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</si>
  <si>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</si>
  <si>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</si>
  <si>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</si>
  <si>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</si>
  <si>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</si>
  <si>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</si>
  <si>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</si>
  <si>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</si>
  <si>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</si>
  <si>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</si>
  <si>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</si>
  <si>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</si>
  <si>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</si>
  <si>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</si>
  <si>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</si>
  <si>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</si>
  <si>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</si>
  <si>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</si>
  <si>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</si>
  <si>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</si>
  <si>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</si>
  <si>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</si>
  <si>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</si>
  <si>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</si>
  <si>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</si>
  <si>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</si>
  <si>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</si>
  <si>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</si>
  <si>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</si>
  <si>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</si>
  <si>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</si>
  <si>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</si>
  <si>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</si>
  <si>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</si>
  <si>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</si>
  <si>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</si>
  <si>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</si>
  <si>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</si>
  <si>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</si>
  <si>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</si>
  <si>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</si>
  <si>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</si>
  <si>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</si>
  <si>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</si>
  <si>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</si>
  <si>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</si>
  <si>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</si>
  <si>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</si>
  <si>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</si>
  <si>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</si>
  <si>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</si>
  <si>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</si>
  <si>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</si>
  <si>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</si>
  <si>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</si>
  <si>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</si>
  <si>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</si>
  <si>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</si>
  <si>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</si>
  <si>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</si>
  <si>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</si>
  <si>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</si>
  <si>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</si>
  <si>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</si>
  <si>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</si>
  <si>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</si>
  <si>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</si>
  <si>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</si>
  <si>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</si>
  <si>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</si>
  <si>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</si>
  <si>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</si>
  <si>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</si>
  <si>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</si>
  <si>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</si>
  <si>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</si>
  <si>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</si>
  <si>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</si>
  <si>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</si>
  <si>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</si>
  <si>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</si>
  <si>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</si>
  <si>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</si>
  <si>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</si>
  <si>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</si>
  <si>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</si>
  <si>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</si>
  <si>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</si>
  <si>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</si>
  <si>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</si>
  <si>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</si>
  <si>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</si>
  <si>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</si>
  <si>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</si>
  <si>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</si>
  <si>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</si>
  <si>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</si>
  <si>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</si>
  <si>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</si>
  <si>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</si>
  <si>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</si>
  <si>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</si>
  <si>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</si>
  <si>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</si>
  <si>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</si>
  <si>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</si>
  <si>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</si>
  <si>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</si>
  <si>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</si>
  <si>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</si>
  <si>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</si>
  <si>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</si>
  <si>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</si>
  <si>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</si>
  <si>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</si>
  <si>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</si>
  <si>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</si>
  <si>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</si>
  <si>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</si>
  <si>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</si>
  <si>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</si>
  <si>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</si>
  <si>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</si>
  <si>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</si>
  <si>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</si>
  <si>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</si>
  <si>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</si>
  <si>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</si>
  <si>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</si>
  <si>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</si>
  <si>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</si>
  <si>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</si>
  <si>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</si>
  <si>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</si>
  <si>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</si>
  <si>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</si>
  <si>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</si>
  <si>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</si>
  <si>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</si>
  <si>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</si>
  <si>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</si>
  <si>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</si>
  <si>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</si>
  <si>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</si>
  <si>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</si>
  <si>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</si>
  <si>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</si>
  <si>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</si>
  <si>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</si>
  <si>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</si>
  <si>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</si>
  <si>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</si>
  <si>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</si>
  <si>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</si>
  <si>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</si>
  <si>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</si>
  <si>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</si>
  <si>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</si>
  <si>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</si>
  <si>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</si>
  <si>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</si>
  <si>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</si>
  <si>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</si>
  <si>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</si>
  <si>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</si>
  <si>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</si>
  <si>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</si>
  <si>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</si>
  <si>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</si>
  <si>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</si>
  <si>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</si>
  <si>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</si>
  <si>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</si>
  <si>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</si>
  <si>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</si>
  <si>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</si>
  <si>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</si>
  <si>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</si>
  <si>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</si>
  <si>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</si>
  <si>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</si>
  <si>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</si>
  <si>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</si>
  <si>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</si>
  <si>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</si>
  <si>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</si>
  <si>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</si>
  <si>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</si>
  <si>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</si>
  <si>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</si>
  <si>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</si>
  <si>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</si>
  <si>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</si>
  <si>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</si>
  <si>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</si>
  <si>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</si>
  <si>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</si>
  <si>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</si>
  <si>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</si>
  <si>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</si>
  <si>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</si>
  <si>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</si>
  <si>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</si>
  <si>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</si>
  <si>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</si>
  <si>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</si>
  <si>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</si>
  <si>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</si>
  <si>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</si>
  <si>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</si>
  <si>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</si>
  <si>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</si>
  <si>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</si>
  <si>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</si>
  <si>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</si>
  <si>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</si>
  <si>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</si>
  <si>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</si>
  <si>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</si>
  <si>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</si>
  <si>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</si>
  <si>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</si>
  <si>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</si>
  <si>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</si>
  <si>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</si>
  <si>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</si>
  <si>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</si>
  <si>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</si>
  <si>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</si>
  <si>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</si>
  <si>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</si>
  <si>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</si>
  <si>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</si>
  <si>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</si>
  <si>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</si>
  <si>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</si>
  <si>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</si>
  <si>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</si>
  <si>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</si>
  <si>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</si>
  <si>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</si>
  <si>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</si>
  <si>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</si>
  <si>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</si>
  <si>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</si>
  <si>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</si>
  <si>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</si>
  <si>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</si>
  <si>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</si>
  <si>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</si>
  <si>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</si>
  <si>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</si>
  <si>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</si>
  <si>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</si>
  <si>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</si>
  <si>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</si>
  <si>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</si>
  <si>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</si>
  <si>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</si>
  <si>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</si>
  <si>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</si>
  <si>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</si>
  <si>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</si>
  <si>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</si>
  <si>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</si>
  <si>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</si>
  <si>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</si>
  <si>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</si>
  <si>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</si>
  <si>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</si>
  <si>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</si>
  <si>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</si>
  <si>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</si>
  <si>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</si>
  <si>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</si>
  <si>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</si>
  <si>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</si>
  <si>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</si>
  <si>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</si>
  <si>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</si>
  <si>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</si>
  <si>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</si>
  <si>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</si>
  <si>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</si>
  <si>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</si>
  <si>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</si>
  <si>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</si>
  <si>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</si>
  <si>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</si>
  <si>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</si>
  <si>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</si>
  <si>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</si>
  <si>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</si>
  <si>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</si>
  <si>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</si>
  <si>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</si>
  <si>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</si>
  <si>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</si>
  <si>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</si>
  <si>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</si>
  <si>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</si>
  <si>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</si>
  <si>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</si>
  <si>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</si>
  <si>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</si>
  <si>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</si>
  <si>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</si>
  <si>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</si>
  <si>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</si>
  <si>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</si>
  <si>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</si>
  <si>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</si>
  <si>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</si>
  <si>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</si>
  <si>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</si>
  <si>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</si>
  <si>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</si>
  <si>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</si>
  <si>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</si>
  <si>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</si>
  <si>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</si>
  <si>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</si>
  <si>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</si>
  <si>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</si>
  <si>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</si>
  <si>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</si>
  <si>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</si>
  <si>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</si>
  <si>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</si>
  <si>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</si>
  <si>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</si>
  <si>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</si>
  <si>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</si>
  <si>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</si>
  <si>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</si>
  <si>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</si>
  <si>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</si>
  <si>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</si>
  <si>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</si>
  <si>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</si>
  <si>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</si>
  <si>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</si>
  <si>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</si>
  <si>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</si>
  <si>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</si>
  <si>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</si>
  <si>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</si>
  <si>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</si>
  <si>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</si>
  <si>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</si>
  <si>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</si>
  <si>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</si>
  <si>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</si>
  <si>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</si>
  <si>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</si>
  <si>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</si>
  <si>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</si>
  <si>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</si>
  <si>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</si>
  <si>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</si>
  <si>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</si>
  <si>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</si>
  <si>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</si>
  <si>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</si>
  <si>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</si>
  <si>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</si>
  <si>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</si>
  <si>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</si>
  <si>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</si>
  <si>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</si>
  <si>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</si>
  <si>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</si>
  <si>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</si>
  <si>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</si>
  <si>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</si>
  <si>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</si>
  <si>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</si>
  <si>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</si>
  <si>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</si>
  <si>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</si>
  <si>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</si>
  <si>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</si>
  <si>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</si>
  <si>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</si>
  <si>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</si>
  <si>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</si>
  <si>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</si>
  <si>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</si>
  <si>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</si>
  <si>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</si>
  <si>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</si>
  <si>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</si>
  <si>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</si>
  <si>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</si>
  <si>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</si>
  <si>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</si>
  <si>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</si>
  <si>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</si>
  <si>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</si>
  <si>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</si>
  <si>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</si>
  <si>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</si>
  <si>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</si>
  <si>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</si>
  <si>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</si>
  <si>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</si>
  <si>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</si>
  <si>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</si>
  <si>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</si>
  <si>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</si>
  <si>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</si>
  <si>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</si>
  <si>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</si>
  <si>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</si>
  <si>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</si>
  <si>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</si>
  <si>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</si>
  <si>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</si>
  <si>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</si>
  <si>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</si>
  <si>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</si>
  <si>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</si>
  <si>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</si>
  <si>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</si>
  <si>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</si>
  <si>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</si>
  <si>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</si>
  <si>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</si>
  <si>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</si>
  <si>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</si>
  <si>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</si>
  <si>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</si>
  <si>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</si>
  <si>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</si>
  <si>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</si>
  <si>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</si>
  <si>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</si>
  <si>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</si>
  <si>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</si>
  <si>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</si>
  <si>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</si>
  <si>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</si>
  <si>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</si>
  <si>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</si>
  <si>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</si>
  <si>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</si>
  <si>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</si>
  <si>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</si>
  <si>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</si>
  <si>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</si>
  <si>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</si>
  <si>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</si>
  <si>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</si>
  <si>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</si>
  <si>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</si>
  <si>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</si>
  <si>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</si>
  <si>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</si>
  <si>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</si>
  <si>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</si>
  <si>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</si>
  <si>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</si>
  <si>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</si>
  <si>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</si>
  <si>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</si>
  <si>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</si>
  <si>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</si>
  <si>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</si>
  <si>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</si>
  <si>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</si>
  <si>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</si>
  <si>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</si>
  <si>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</si>
  <si>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</si>
  <si>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</si>
  <si>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</si>
  <si>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</si>
  <si>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</si>
  <si>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</si>
  <si>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</si>
  <si>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</si>
  <si>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</si>
  <si>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</si>
  <si>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</si>
  <si>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</si>
  <si>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</si>
  <si>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</si>
  <si>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</si>
  <si>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</si>
  <si>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</si>
  <si>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</si>
  <si>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</si>
  <si>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</si>
  <si>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</si>
  <si>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</si>
  <si>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送状定義/固有情報の項目あり、試料情報共通項目なし、一般項目あり、分類別項目なし</t>
    <rPh sb="17" eb="19">
      <t xml:space="preserve">ジョウホウ </t>
    </rPh>
    <rPh sb="19" eb="21">
      <t xml:space="preserve">キョウツウ </t>
    </rPh>
    <rPh sb="21" eb="23">
      <t xml:space="preserve">コウモク </t>
    </rPh>
    <rPh sb="26" eb="30">
      <t xml:space="preserve">イッパンコウモク </t>
    </rPh>
    <rPh sb="33" eb="36">
      <t xml:space="preserve">ブンルイベツ </t>
    </rPh>
    <rPh sb="36" eb="38">
      <t xml:space="preserve">コウモク </t>
    </rPh>
    <phoneticPr fontId="2"/>
  </si>
  <si>
    <t>RDEDatasetTemplateSheet_test_08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</si>
</sst>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1514</v>
      </c>
      <c r="C1" s="31" t="s">
        <v>1384</v>
      </c>
    </row>
    <row r="2" spans="1:3" ht="18">
      <c r="A2" s="2" t="s">
        <v>1385</v>
      </c>
      <c r="B2" s="16" t="s">
        <v>1514</v>
      </c>
      <c r="C2" s="31" t="s">
        <v>1384</v>
      </c>
    </row>
    <row r="3" spans="1:3" ht="18">
      <c r="A3" s="2" t="s">
        <v>1386</v>
      </c>
      <c r="B3" s="16" t="s">
        <v>1514</v>
      </c>
      <c r="C3" s="31" t="s">
        <v>1387</v>
      </c>
    </row>
    <row r="4" spans="1:3">
      <c r="A4" s="2" t="s">
        <v>1388</v>
      </c>
      <c r="B4" s="31" t="s">
        <v>1513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6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67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67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67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67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7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7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7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7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7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7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7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7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7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7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7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7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7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7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7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7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7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7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7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7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7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7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7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7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7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7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7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7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7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7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7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7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7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7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7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8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14" sqref="D14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7" t="s">
        <v>9</v>
      </c>
      <c r="C1" s="58"/>
      <c r="D1" s="58"/>
      <c r="E1" s="59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3" t="str">
        <f>"https://rde.nims.go.jp/rde/dataset-templates/"&amp;説明!B3&amp;"/invoice.schema.json"</f>
        <v>https://rde.nims.go.jp/rde/dataset-templates/RDEDatasetTemplateSheet_test_08/invoice.schema.json</v>
      </c>
      <c r="C2" s="64"/>
      <c r="D2" s="64"/>
      <c r="E2" s="6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0" t="str">
        <f>説明!B4&amp;": 送状定義"</f>
        <v>送状定義/固有情報の項目あり、試料情報共通項目なし、一般項目あり、分類別項目なし: 送状定義</v>
      </c>
      <c r="C3" s="61"/>
      <c r="D3" s="61"/>
      <c r="E3" s="62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3" t="s">
        <v>5</v>
      </c>
      <c r="B7" s="53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3"/>
      <c r="B8" s="53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3"/>
      <c r="B9" s="53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3"/>
      <c r="B10" s="53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3"/>
      <c r="B11" s="53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3"/>
      <c r="B12" s="53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3"/>
      <c r="B13" s="53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3"/>
      <c r="B14" s="53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3"/>
      <c r="B15" s="53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3"/>
      <c r="B16" s="53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3"/>
      <c r="B17" s="53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4" t="s">
        <v>1379</v>
      </c>
      <c r="B18" s="53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5"/>
      <c r="B19" s="53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5"/>
      <c r="B20" s="53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5"/>
      <c r="B21" s="53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5"/>
      <c r="B22" s="53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5"/>
      <c r="B23" s="53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6"/>
      <c r="B24" s="53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4" t="s">
        <v>1380</v>
      </c>
      <c r="B25" s="53" t="s">
        <v>40</v>
      </c>
      <c r="C25" s="4" t="s">
        <v>1402</v>
      </c>
      <c r="D25" s="27" t="str">
        <f>IFERROR(INDEX(sample.general_sample_term!A:H,MATCH($E25,sample.general_sample_term!C:C,FALSE),2),"")</f>
        <v>sample.general.composiiton</v>
      </c>
      <c r="E25" s="21" t="s">
        <v>1136</v>
      </c>
      <c r="F25" s="27" t="str">
        <f>IFERROR(INDEX(sample.general_sample_term!A:H,MATCH($E25,sample.general_sample_term!C:C,FALSE),3),"")</f>
        <v>化学式、組成式、分子式など</v>
      </c>
      <c r="G25" s="27" t="str">
        <f>IFERROR(INDEX(sample.general_sample_term!A:H,MATCH($E25,sample.general_sample_term!C:C,FALSE),4),"")</f>
        <v>Chemical formula, composition formula, molecular formula, etc.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化学式、組成式、分子式などを入力してください</v>
      </c>
      <c r="V25" s="27" t="str">
        <f>IFERROR(INDEX(sample.general_sample_term!A:H,MATCH($E25,sample.general_sample_term!C:C,FALSE),6),"")</f>
        <v>Please enter Chemical formula, composition formula, molecular formula, etc.</v>
      </c>
      <c r="W25" s="28"/>
      <c r="X25" s="28"/>
      <c r="Y25" s="28"/>
      <c r="Z25" s="28"/>
      <c r="AA25" s="28"/>
      <c r="AB25" s="28"/>
      <c r="AC25" s="28"/>
    </row>
    <row r="26" spans="1:29">
      <c r="A26" s="55"/>
      <c r="B26" s="53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5"/>
      <c r="B27" s="53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5"/>
      <c r="B28" s="53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5"/>
      <c r="B29" s="53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5"/>
      <c r="B30" s="53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5"/>
      <c r="B31" s="53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5"/>
      <c r="B32" s="53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6"/>
      <c r="B33" s="53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4" t="s">
        <v>1381</v>
      </c>
      <c r="B34" s="53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5"/>
      <c r="B35" s="53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5"/>
      <c r="B36" s="53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5"/>
      <c r="B37" s="53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5"/>
      <c r="B38" s="53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5"/>
      <c r="B39" s="53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5"/>
      <c r="B40" s="53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5"/>
      <c r="B41" s="53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6"/>
      <c r="B42" s="53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https://rde.nims.go.jp/rde/dataset-templates/RDEDatasetTemplateSheet_test_08/catalog.schema.json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送状定義/固有情報の項目あり、試料情報共通項目なし、一般項目あり、分類別項目なし: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RDEDatasetTemplateSheet_test_08:データカタログ定義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RDEDatasetTemplateSheet_test_08:data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