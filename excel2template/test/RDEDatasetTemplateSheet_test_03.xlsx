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439D6ECE-CF74-7746-9C87-FBB56ED5DFEF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<sst xmlns="http://schemas.openxmlformats.org/spreadsheetml/2006/main" count="2609" uniqueCount="1515">
  <si>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</si>
  <si>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</si>
  <si>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</si>
  <si>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</si>
  <si>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</si>
  <si>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</si>
  <si>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</si>
  <si>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</si>
  <si>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</si>
  <si>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</si>
  <si>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</si>
  <si>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</si>
  <si>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</si>
  <si>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</si>
  <si>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</si>
  <si>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</si>
  <si>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</si>
  <si>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</si>
  <si>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</si>
  <si>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</si>
  <si>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</si>
  <si>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</si>
  <si>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</si>
  <si>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</si>
  <si>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</si>
  <si>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</si>
  <si>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</si>
  <si>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</si>
  <si>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</si>
  <si>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</si>
  <si>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</si>
  <si>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</si>
  <si>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</si>
  <si>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</si>
  <si>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</si>
  <si>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</si>
  <si>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</si>
  <si>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</si>
  <si>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</si>
  <si>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</si>
  <si>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</si>
  <si>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</si>
  <si>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</si>
  <si>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</si>
  <si>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</si>
  <si>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</si>
  <si>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</si>
  <si>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</si>
  <si>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</si>
  <si>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</si>
  <si>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</si>
  <si>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</si>
  <si>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</si>
  <si>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</si>
  <si>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</si>
  <si>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</si>
  <si>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</si>
  <si>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</si>
  <si>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</si>
  <si>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</si>
  <si>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</si>
  <si>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</si>
  <si>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</si>
  <si>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</si>
  <si>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</si>
  <si>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</si>
  <si>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</si>
  <si>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</si>
  <si>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</si>
  <si>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</si>
  <si>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</si>
  <si>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</si>
  <si>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</si>
  <si>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</si>
  <si>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</si>
  <si>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</si>
  <si>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</si>
  <si>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</si>
  <si>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</si>
  <si>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</si>
  <si>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</si>
  <si>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</si>
  <si>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</si>
  <si>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</si>
  <si>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</si>
  <si>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</si>
  <si>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</si>
  <si>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</si>
  <si>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</si>
  <si>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</si>
  <si>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</si>
  <si>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</si>
  <si>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</si>
  <si>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</si>
  <si>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</si>
  <si>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</si>
  <si>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</si>
  <si>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</si>
  <si>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</si>
  <si>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</si>
  <si>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</si>
  <si>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</si>
  <si>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</si>
  <si>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</si>
  <si>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</si>
  <si>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</si>
  <si>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</si>
  <si>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</si>
  <si>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</si>
  <si>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</si>
  <si>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</si>
  <si>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</si>
  <si>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</si>
  <si>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</si>
  <si>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</si>
  <si>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</si>
  <si>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</si>
  <si>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</si>
  <si>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</si>
  <si>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</si>
  <si>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</si>
  <si>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</si>
  <si>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</si>
  <si>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</si>
  <si>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</si>
  <si>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</si>
  <si>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</si>
  <si>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</si>
  <si>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</si>
  <si>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</si>
  <si>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</si>
  <si>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</si>
  <si>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</si>
  <si>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</si>
  <si>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</si>
  <si>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</si>
  <si>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</si>
  <si>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</si>
  <si>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</si>
  <si>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</si>
  <si>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</si>
  <si>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</si>
  <si>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</si>
  <si>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</si>
  <si>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</si>
  <si>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</si>
  <si>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</si>
  <si>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</si>
  <si>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</si>
  <si>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</si>
  <si>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</si>
  <si>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</si>
  <si>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</si>
  <si>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</si>
  <si>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</si>
  <si>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</si>
  <si>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</si>
  <si>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</si>
  <si>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</si>
  <si>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</si>
  <si>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</si>
  <si>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</si>
  <si>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</si>
  <si>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</si>
  <si>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</si>
  <si>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</si>
  <si>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</si>
  <si>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</si>
  <si>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</si>
  <si>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</si>
  <si>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</si>
  <si>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</si>
  <si>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</si>
  <si>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</si>
  <si>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</si>
  <si>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</si>
  <si>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</si>
  <si>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</si>
  <si>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</si>
  <si>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</si>
  <si>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</si>
  <si>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</si>
  <si>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</si>
  <si>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</si>
  <si>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</si>
  <si>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</si>
  <si>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</si>
  <si>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</si>
  <si>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</si>
  <si>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</si>
  <si>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</si>
  <si>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</si>
  <si>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</si>
  <si>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</si>
  <si>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</si>
  <si>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</si>
  <si>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</si>
  <si>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</si>
  <si>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</si>
  <si>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</si>
  <si>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</si>
  <si>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</si>
  <si>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</si>
  <si>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</si>
  <si>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</si>
  <si>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</si>
  <si>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</si>
  <si>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</si>
  <si>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</si>
  <si>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</si>
  <si>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</si>
  <si>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</si>
  <si>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</si>
  <si>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</si>
  <si>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</si>
  <si>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</si>
  <si>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</si>
  <si>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</si>
  <si>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</si>
  <si>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</si>
  <si>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</si>
  <si>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</si>
  <si>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</si>
  <si>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</si>
  <si>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</si>
  <si>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</si>
  <si>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</si>
  <si>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</si>
  <si>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</si>
  <si>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</si>
  <si>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</si>
  <si>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</si>
  <si>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</si>
  <si>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</si>
  <si>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</si>
  <si>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</si>
  <si>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</si>
  <si>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</si>
  <si>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</si>
  <si>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</si>
  <si>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</si>
  <si>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</si>
  <si>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</si>
  <si>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</si>
  <si>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</si>
  <si>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</si>
  <si>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</si>
  <si>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</si>
  <si>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</si>
  <si>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</si>
  <si>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</si>
  <si>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</si>
  <si>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</si>
  <si>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</si>
  <si>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</si>
  <si>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</si>
  <si>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</si>
  <si>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</si>
  <si>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</si>
  <si>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</si>
  <si>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</si>
  <si>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</si>
  <si>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</si>
  <si>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</si>
  <si>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</si>
  <si>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</si>
  <si>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</si>
  <si>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</si>
  <si>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</si>
  <si>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</si>
  <si>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</si>
  <si>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</si>
  <si>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</si>
  <si>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</si>
  <si>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</si>
  <si>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</si>
  <si>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</si>
  <si>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</si>
  <si>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</si>
  <si>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</si>
  <si>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</si>
  <si>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</si>
  <si>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</si>
  <si>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</si>
  <si>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</si>
  <si>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</si>
  <si>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</si>
  <si>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</si>
  <si>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</si>
  <si>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</si>
  <si>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</si>
  <si>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</si>
  <si>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</si>
  <si>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</si>
  <si>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</si>
  <si>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</si>
  <si>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</si>
  <si>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</si>
  <si>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</si>
  <si>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</si>
  <si>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</si>
  <si>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</si>
  <si>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</si>
  <si>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</si>
  <si>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</si>
  <si>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</si>
  <si>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</si>
  <si>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</si>
  <si>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</si>
  <si>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</si>
  <si>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</si>
  <si>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</si>
  <si>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</si>
  <si>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</si>
  <si>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</si>
  <si>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</si>
  <si>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</si>
  <si>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</si>
  <si>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</si>
  <si>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</si>
  <si>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</si>
  <si>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</si>
  <si>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</si>
  <si>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</si>
  <si>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</si>
  <si>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</si>
  <si>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</si>
  <si>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</si>
  <si>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</si>
  <si>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</si>
  <si>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</si>
  <si>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</si>
  <si>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</si>
  <si>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</si>
  <si>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</si>
  <si>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</si>
  <si>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</si>
  <si>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</si>
  <si>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</si>
  <si>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</si>
  <si>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</si>
  <si>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</si>
  <si>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</si>
  <si>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</si>
  <si>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</si>
  <si>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</si>
  <si>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</si>
  <si>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</si>
  <si>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</si>
  <si>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</si>
  <si>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</si>
  <si>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</si>
  <si>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</si>
  <si>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</si>
  <si>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</si>
  <si>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</si>
  <si>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</si>
  <si>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</si>
  <si>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</si>
  <si>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</si>
  <si>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</si>
  <si>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</si>
  <si>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</si>
  <si>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</si>
  <si>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</si>
  <si>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</si>
  <si>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</si>
  <si>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</si>
  <si>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</si>
  <si>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</si>
  <si>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</si>
  <si>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</si>
  <si>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</si>
  <si>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</si>
  <si>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</si>
  <si>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</si>
  <si>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</si>
  <si>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</si>
  <si>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</si>
  <si>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</si>
  <si>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</si>
  <si>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</si>
  <si>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</si>
  <si>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</si>
  <si>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</si>
  <si>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</si>
  <si>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</si>
  <si>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</si>
  <si>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</si>
  <si>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</si>
  <si>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</si>
  <si>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</si>
  <si>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</si>
  <si>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</si>
  <si>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</si>
  <si>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</si>
  <si>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</si>
  <si>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</si>
  <si>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</si>
  <si>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</si>
  <si>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</si>
  <si>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</si>
  <si>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</si>
  <si>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</si>
  <si>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</si>
  <si>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</si>
  <si>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</si>
  <si>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</si>
  <si>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</si>
  <si>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</si>
  <si>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</si>
  <si>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</si>
  <si>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</si>
  <si>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</si>
  <si>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</si>
  <si>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</si>
  <si>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</si>
  <si>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</si>
  <si>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</si>
  <si>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</si>
  <si>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</si>
  <si>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</si>
  <si>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</si>
  <si>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</si>
  <si>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</si>
  <si>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</si>
  <si>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</si>
  <si>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</si>
  <si>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</si>
  <si>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</si>
  <si>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</si>
  <si>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</si>
  <si>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</si>
  <si>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</si>
  <si>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</si>
  <si>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</si>
  <si>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</si>
  <si>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</si>
  <si>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</si>
  <si>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</si>
  <si>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</si>
  <si>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</si>
  <si>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</si>
  <si>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</si>
  <si>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</si>
  <si>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</si>
  <si>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</si>
  <si>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</si>
  <si>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</si>
  <si>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</si>
  <si>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</si>
  <si>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</si>
  <si>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</si>
  <si>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</si>
  <si>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</si>
  <si>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</si>
  <si>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</si>
  <si>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</si>
  <si>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</si>
  <si>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</si>
  <si>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</si>
  <si>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</si>
  <si>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</si>
  <si>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</si>
  <si>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</si>
  <si>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</si>
  <si>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</si>
  <si>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</si>
  <si>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</si>
  <si>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</si>
  <si>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</si>
  <si>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</si>
  <si>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</si>
  <si>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</si>
  <si>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</si>
  <si>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</si>
  <si>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</si>
  <si>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</si>
  <si>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</si>
  <si>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</si>
  <si>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</si>
  <si>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</si>
  <si>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</si>
  <si>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</si>
  <si>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</si>
  <si>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</si>
  <si>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</si>
  <si>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</si>
  <si>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</si>
  <si>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</si>
  <si>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</si>
  <si>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</si>
  <si>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</si>
  <si>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</si>
  <si>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</si>
  <si>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</si>
  <si>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</si>
  <si>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</si>
  <si>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</si>
  <si>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</si>
  <si>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</si>
  <si>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</si>
  <si>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</si>
  <si>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</si>
  <si>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</si>
  <si>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</si>
  <si>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</si>
  <si>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</si>
  <si>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</si>
  <si>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</si>
  <si>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</si>
  <si>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</si>
  <si>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</si>
  <si>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</si>
  <si>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</si>
  <si>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</si>
  <si>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</si>
  <si>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</si>
  <si>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</si>
  <si>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</si>
  <si>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</si>
  <si>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</si>
  <si>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</si>
  <si>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</si>
  <si>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</si>
  <si>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</si>
  <si>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</si>
  <si>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</si>
  <si>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</si>
  <si>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</si>
  <si>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</si>
  <si>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</si>
  <si>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</si>
  <si>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</si>
  <si>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</si>
  <si>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</si>
  <si>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</si>
  <si>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</si>
  <si>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</si>
  <si>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</si>
  <si>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</si>
  <si>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</si>
  <si>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</si>
  <si>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</si>
  <si>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</si>
  <si>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</si>
  <si>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</si>
  <si>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</si>
  <si>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</si>
  <si>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</si>
  <si>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</si>
  <si>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</si>
  <si>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</si>
  <si>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</si>
  <si>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</si>
  <si>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</si>
  <si>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</si>
  <si>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</si>
  <si>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</si>
  <si>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</si>
  <si>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</si>
  <si>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</si>
  <si>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</si>
  <si>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</si>
  <si>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</si>
  <si>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</si>
  <si>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</si>
  <si>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</si>
  <si>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</si>
  <si>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</si>
  <si>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</si>
  <si>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</si>
  <si>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</si>
  <si>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</si>
  <si>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</si>
  <si>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</si>
  <si>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</si>
  <si>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</si>
  <si>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</si>
  <si>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</si>
  <si>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</si>
  <si>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</si>
  <si>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</si>
  <si>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</si>
  <si>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</si>
  <si>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</si>
  <si>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</si>
  <si>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</si>
  <si>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</si>
  <si>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</si>
  <si>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</si>
  <si>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</si>
  <si>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</si>
  <si>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</si>
  <si>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</si>
  <si>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</si>
  <si>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</si>
  <si>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</si>
  <si>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</si>
  <si>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</si>
  <si>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</si>
  <si>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</si>
  <si>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</si>
  <si>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</si>
  <si>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</si>
  <si>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</si>
  <si>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</si>
  <si>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</si>
  <si>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</si>
  <si>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</si>
  <si>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</si>
  <si>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</si>
  <si>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</si>
  <si>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</si>
  <si>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</si>
  <si>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</si>
  <si>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</si>
  <si>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</si>
  <si>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</si>
  <si>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</si>
  <si>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</si>
  <si>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</si>
  <si>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</si>
  <si>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</si>
  <si>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</si>
  <si>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</si>
  <si>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</si>
  <si>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</si>
  <si>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</si>
  <si>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</si>
  <si>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</si>
  <si>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</si>
  <si>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</si>
  <si>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</si>
  <si>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</si>
  <si>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</si>
  <si>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</si>
  <si>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</si>
  <si>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</si>
  <si>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</si>
  <si>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</si>
  <si>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</si>
  <si>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</si>
  <si>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</si>
  <si>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</si>
  <si>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</si>
  <si>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</si>
  <si>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</si>
  <si>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</si>
  <si>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</si>
  <si>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</si>
  <si>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</si>
  <si>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</si>
  <si>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</si>
  <si>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</si>
  <si>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</si>
  <si>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</si>
  <si>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</si>
  <si>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</si>
  <si>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</si>
  <si>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</si>
  <si>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</si>
  <si>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</si>
  <si>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</si>
  <si>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</si>
  <si>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</si>
  <si>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</si>
  <si>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</si>
  <si>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</si>
  <si>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</si>
  <si>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</si>
  <si>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</si>
  <si>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</si>
  <si>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</si>
  <si>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</si>
  <si>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</si>
  <si>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</si>
  <si>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</si>
  <si>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</si>
  <si>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</si>
  <si>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</si>
  <si>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</si>
  <si>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</si>
  <si>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</si>
  <si>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</si>
  <si>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</si>
  <si>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</si>
  <si>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</si>
  <si>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</si>
  <si>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</si>
  <si>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</si>
  <si>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</si>
  <si>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</si>
  <si>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</si>
  <si>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</si>
  <si>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</si>
  <si>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</si>
  <si>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</si>
  <si>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</si>
  <si>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</si>
  <si>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</si>
  <si>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</si>
  <si>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</si>
  <si>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</si>
  <si>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</si>
  <si>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</si>
  <si>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</si>
  <si>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</si>
  <si>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</si>
  <si>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</si>
  <si>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</si>
  <si>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</si>
  <si>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</si>
  <si>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</si>
  <si>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</si>
  <si>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</si>
  <si>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</si>
  <si>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</si>
  <si>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</si>
  <si>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</si>
  <si>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</si>
  <si>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</si>
  <si>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</si>
  <si>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</si>
  <si>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</si>
  <si>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</si>
  <si>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</si>
  <si>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</si>
  <si>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</si>
  <si>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</si>
  <si>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</si>
  <si>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</si>
  <si>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</si>
  <si>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</si>
  <si>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</si>
  <si>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</si>
  <si>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</si>
  <si>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</si>
  <si>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</si>
  <si>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</si>
  <si>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</si>
  <si>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</si>
  <si>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</si>
  <si>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</si>
  <si>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</si>
  <si>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</si>
  <si>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</si>
  <si>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</si>
  <si>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</si>
  <si>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</si>
  <si>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</si>
  <si>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</si>
  <si>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</si>
  <si>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</si>
  <si>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</si>
  <si>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</si>
  <si>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</si>
  <si>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</si>
  <si>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</si>
  <si>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</si>
  <si>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</si>
  <si>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</si>
  <si>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</si>
  <si>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</si>
  <si>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</si>
  <si>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</si>
  <si>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</si>
  <si>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</si>
  <si>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</si>
  <si>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</si>
  <si>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</si>
  <si>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</si>
  <si>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</si>
  <si>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</si>
  <si>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</si>
  <si>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</si>
  <si>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</si>
  <si>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</si>
  <si>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</si>
  <si>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</si>
  <si>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</si>
  <si>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</si>
  <si>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</si>
  <si>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</si>
  <si>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</si>
  <si>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</si>
  <si>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</si>
  <si>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</si>
  <si>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</si>
  <si>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</si>
  <si>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</si>
  <si>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</si>
  <si>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</si>
  <si>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</si>
  <si>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</si>
  <si>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</si>
  <si>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</si>
  <si>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</si>
  <si>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</si>
  <si>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</si>
  <si>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</si>
  <si>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</si>
  <si>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</si>
  <si>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</si>
  <si>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</si>
  <si>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</si>
  <si>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</si>
  <si>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</si>
  <si>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</si>
  <si>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</si>
  <si>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</si>
  <si>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</si>
  <si>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</si>
  <si>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</si>
  <si>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</si>
  <si>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</si>
  <si>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</si>
  <si>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</si>
  <si>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</si>
  <si>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</si>
  <si>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</si>
  <si>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</si>
  <si>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</si>
  <si>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</si>
  <si>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</si>
  <si>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</si>
  <si>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</si>
  <si>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</si>
  <si>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</si>
  <si>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</si>
  <si>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</si>
  <si>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</si>
  <si>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</si>
  <si>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</si>
  <si>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</si>
  <si>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</si>
  <si>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</si>
  <si>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</si>
  <si>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</si>
  <si>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</si>
  <si>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</si>
  <si>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</si>
  <si>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</si>
  <si>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</si>
  <si>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</si>
  <si>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</si>
  <si>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</si>
  <si>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</si>
  <si>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</si>
  <si>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</si>
  <si>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</si>
  <si>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</si>
  <si>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</si>
  <si>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</si>
  <si>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</si>
  <si>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</si>
  <si>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</si>
  <si>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</si>
  <si>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</si>
  <si>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</si>
  <si>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</si>
  <si>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</si>
  <si>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</si>
  <si>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</si>
  <si>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</si>
  <si>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</si>
  <si>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</si>
  <si>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</si>
  <si>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</si>
  <si>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</si>
  <si>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</si>
  <si>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</si>
  <si>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</si>
  <si>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</si>
  <si>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</si>
  <si>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</si>
  <si>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</si>
  <si>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</si>
  <si>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</si>
  <si>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</si>
  <si>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</si>
  <si>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</si>
  <si>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</si>
  <si>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</si>
  <si>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</si>
  <si>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</si>
  <si>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</si>
  <si>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</si>
  <si>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</si>
  <si>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</si>
  <si>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</si>
  <si>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</si>
  <si>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</si>
  <si>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</si>
  <si>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</si>
  <si>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</si>
  <si>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</si>
  <si>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</si>
  <si>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</si>
  <si>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</si>
  <si>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</si>
  <si>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</si>
  <si>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</si>
  <si>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</si>
  <si>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</si>
  <si>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</si>
  <si>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</si>
  <si>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</si>
  <si>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</si>
  <si>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</si>
  <si>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</si>
  <si>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</si>
  <si>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</si>
  <si>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</si>
  <si>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</si>
  <si>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</si>
  <si>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</si>
  <si>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</si>
  <si>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</si>
  <si>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</si>
  <si>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</si>
  <si>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</si>
  <si>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</si>
  <si>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</si>
  <si>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</si>
  <si>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</si>
  <si>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</si>
  <si>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</si>
  <si>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</si>
  <si>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</si>
  <si>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</si>
  <si>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</si>
  <si>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</si>
  <si>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</si>
  <si>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</si>
  <si>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</si>
  <si>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</si>
  <si>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</si>
  <si>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</si>
  <si>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</si>
  <si>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</si>
  <si>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</si>
  <si>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</si>
  <si>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</si>
  <si>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</si>
  <si>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</si>
  <si>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</si>
  <si>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</si>
  <si>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</si>
  <si>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</si>
  <si>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</si>
  <si>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</si>
  <si>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</si>
  <si>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</si>
  <si>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</si>
  <si>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</si>
  <si>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</si>
  <si>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</si>
  <si>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</si>
  <si>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</si>
  <si>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</si>
  <si>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</si>
  <si>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</si>
  <si>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</si>
  <si>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</si>
  <si>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</si>
  <si>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</si>
  <si>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</si>
  <si>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</si>
  <si>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</si>
  <si>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</si>
  <si>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</si>
  <si>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</si>
  <si>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</si>
  <si>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</si>
  <si>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</si>
  <si>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</si>
  <si>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</si>
  <si>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</si>
  <si>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</si>
  <si>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</si>
  <si>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</si>
  <si>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</si>
  <si>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</si>
  <si>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</si>
  <si>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</si>
  <si>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</si>
  <si>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</si>
  <si>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</si>
  <si>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</si>
  <si>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</si>
  <si>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</si>
  <si>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</si>
  <si>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</si>
  <si>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</si>
  <si>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</si>
  <si>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</si>
  <si>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</si>
  <si>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</si>
  <si>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</si>
  <si>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</si>
  <si>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</si>
  <si>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</si>
  <si>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</si>
  <si>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</si>
  <si>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</si>
  <si>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</si>
  <si>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</si>
  <si>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</si>
  <si>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</si>
  <si>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</si>
  <si>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</si>
  <si>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</si>
  <si>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</si>
  <si>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</si>
  <si>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</si>
  <si>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</si>
  <si>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</si>
  <si>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</si>
  <si>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</si>
  <si>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</si>
  <si>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</si>
  <si>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</si>
  <si>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</si>
  <si>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</si>
  <si>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</si>
  <si>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</si>
  <si>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</si>
  <si>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</si>
  <si>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</si>
  <si>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</si>
  <si>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</si>
  <si>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</si>
  <si>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</si>
  <si>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</si>
  <si>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</si>
  <si>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</si>
  <si>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</si>
  <si>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</si>
  <si>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</si>
  <si>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</si>
  <si>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</si>
  <si>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</si>
  <si>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</si>
  <si>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</si>
  <si>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</si>
  <si>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</si>
  <si>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</si>
  <si>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</si>
  <si>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</si>
  <si>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</si>
  <si>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</si>
  <si>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</si>
  <si>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</si>
  <si>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</si>
  <si>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</si>
  <si>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</si>
  <si>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</si>
  <si>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</si>
  <si>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</si>
  <si>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</si>
  <si>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</si>
  <si>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</si>
  <si>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</si>
  <si>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</si>
  <si>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</si>
  <si>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</si>
  <si>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</si>
  <si>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</si>
  <si>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</si>
  <si>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</si>
  <si>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</si>
  <si>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</si>
  <si>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</si>
  <si>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</si>
  <si>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</si>
  <si>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</si>
  <si>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</si>
  <si>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</si>
  <si>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</si>
  <si>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</si>
  <si>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</si>
  <si>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</si>
  <si>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</si>
  <si>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</si>
  <si>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</si>
  <si>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</si>
  <si>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</si>
  <si>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</si>
  <si>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</si>
  <si>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</si>
  <si>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</si>
  <si>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</si>
  <si>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</si>
  <si>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</si>
  <si>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</si>
  <si>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</si>
  <si>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</si>
  <si>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</si>
  <si>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</si>
  <si>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</si>
  <si>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</si>
  <si>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</si>
  <si>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</si>
  <si>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</si>
  <si>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</si>
  <si>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</si>
  <si>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</si>
  <si>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</si>
  <si>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</si>
  <si>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</si>
  <si>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</si>
  <si>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</si>
  <si>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</si>
  <si>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</si>
  <si>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</si>
  <si>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</si>
  <si>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</si>
  <si>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</si>
  <si>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</si>
  <si>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</si>
  <si>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</si>
  <si>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</si>
  <si>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</si>
  <si>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</si>
  <si>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</si>
  <si>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</si>
  <si>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</si>
  <si>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</si>
  <si>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</si>
  <si>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</si>
  <si>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</si>
  <si>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</si>
  <si>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</si>
  <si>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</si>
  <si>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</si>
  <si>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</si>
  <si>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</si>
  <si>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</si>
  <si>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</si>
  <si>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</si>
  <si>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</si>
  <si>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</si>
  <si>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</si>
  <si>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</si>
  <si>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</si>
  <si>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</si>
  <si>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</si>
  <si>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</si>
  <si>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</si>
  <si>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</si>
  <si>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</si>
  <si>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</si>
  <si>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</si>
  <si>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</si>
  <si>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</si>
  <si>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</si>
  <si>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</si>
  <si>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</si>
  <si>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</si>
  <si>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</si>
  <si>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</si>
  <si>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</si>
  <si>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</si>
  <si>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</si>
  <si>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</si>
  <si>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</si>
  <si>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</si>
  <si>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</si>
  <si>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</si>
  <si>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</si>
  <si>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</si>
  <si>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</si>
  <si>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</si>
  <si>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</si>
  <si>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</si>
  <si>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</si>
  <si>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</si>
  <si>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</si>
  <si>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</si>
  <si>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</si>
  <si>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</si>
  <si>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</si>
  <si>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</si>
  <si>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</si>
  <si>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</si>
  <si>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</si>
  <si>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</si>
  <si>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</si>
  <si>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</si>
  <si>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</si>
  <si>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</si>
  <si>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</si>
  <si>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</si>
  <si>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</si>
  <si>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</si>
  <si>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</si>
  <si>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</si>
  <si>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</si>
  <si>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</si>
  <si>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</si>
  <si>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</si>
  <si>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</si>
  <si>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</si>
  <si>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</si>
  <si>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</si>
  <si>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</si>
  <si>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</si>
  <si>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</si>
  <si>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</si>
  <si>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</si>
  <si>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</si>
  <si>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</si>
  <si>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</si>
  <si>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</si>
  <si>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</si>
  <si>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</si>
  <si>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</si>
  <si>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</si>
  <si>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</si>
  <si>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</si>
  <si>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</si>
  <si>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</si>
  <si>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</si>
  <si>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</si>
  <si>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</si>
  <si>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</si>
  <si>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</si>
  <si>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</si>
  <si>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</si>
  <si>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</si>
  <si>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</si>
  <si>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</si>
  <si>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</si>
  <si>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</si>
  <si>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</si>
  <si>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</si>
  <si>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</si>
  <si>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</si>
  <si>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</si>
  <si>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</si>
  <si>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</si>
  <si>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</si>
  <si>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</si>
  <si>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</si>
  <si>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</si>
  <si>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</si>
  <si>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</si>
  <si>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</si>
  <si>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</si>
  <si>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</si>
  <si>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</si>
  <si>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</si>
  <si>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</si>
  <si>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</si>
  <si>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</si>
  <si>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</si>
  <si>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</si>
  <si>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</si>
  <si>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</si>
  <si>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</si>
  <si>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</si>
  <si>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</si>
  <si>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</si>
  <si>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</si>
  <si>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</si>
  <si>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</si>
  <si>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</si>
  <si>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</si>
  <si>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</si>
  <si>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</si>
  <si>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</si>
  <si>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</si>
  <si>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</si>
  <si>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</si>
  <si>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</si>
  <si>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</si>
  <si>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</si>
  <si>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</si>
  <si>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</si>
  <si>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</si>
  <si>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</si>
  <si>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</si>
  <si>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</si>
  <si>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</si>
  <si>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</si>
  <si>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</si>
  <si>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</si>
  <si>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</si>
  <si>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</si>
  <si>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</si>
  <si>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</si>
  <si>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</si>
  <si>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</si>
  <si>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</si>
  <si>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</si>
  <si>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</si>
  <si>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</si>
  <si>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</si>
  <si>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</si>
  <si>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</si>
  <si>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</si>
  <si>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</si>
  <si>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</si>
  <si>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</si>
  <si>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</si>
  <si>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</si>
  <si>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</si>
  <si>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</si>
  <si>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</si>
  <si>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</si>
  <si>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</si>
  <si>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</si>
  <si>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</si>
  <si>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</si>
  <si>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</si>
  <si>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</si>
  <si>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</si>
  <si>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</si>
  <si>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</si>
  <si>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</si>
  <si>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</si>
  <si>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</si>
  <si>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</si>
  <si>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</si>
  <si>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</si>
  <si>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</si>
  <si>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</si>
  <si>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</si>
  <si>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</si>
  <si>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</si>
  <si>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</si>
  <si>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</si>
  <si>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</si>
  <si>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</si>
  <si>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</si>
  <si>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</si>
  <si>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</si>
  <si>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</si>
  <si>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</si>
  <si>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</si>
  <si>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</si>
  <si>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</si>
  <si>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</si>
  <si>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</si>
  <si>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</si>
  <si>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</si>
  <si>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</si>
  <si>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</si>
  <si>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</si>
  <si>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</si>
  <si>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</si>
  <si>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</si>
  <si>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</si>
  <si>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</si>
  <si>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</si>
  <si>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</si>
  <si>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</si>
  <si>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</si>
  <si>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</si>
  <si>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</si>
  <si>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</si>
  <si>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</si>
  <si>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</si>
  <si>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</si>
  <si>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</si>
  <si>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</si>
  <si>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</si>
  <si>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</si>
  <si>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</si>
  <si>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</si>
  <si>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</si>
  <si>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</si>
  <si>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</si>
  <si>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</si>
  <si>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</si>
  <si>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</si>
  <si>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</si>
  <si>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</si>
  <si>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</si>
  <si>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</si>
  <si>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</si>
  <si>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</si>
  <si>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</si>
  <si>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</si>
  <si>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</si>
  <si>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</si>
  <si>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</si>
  <si>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</si>
  <si>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</si>
  <si>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</si>
  <si>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</si>
  <si>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</si>
  <si>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</si>
  <si>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</si>
  <si>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</si>
  <si>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</si>
  <si>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</si>
  <si>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</si>
  <si>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</si>
  <si>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</si>
  <si>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</si>
  <si>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</si>
  <si>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</si>
  <si>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</si>
  <si>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</si>
  <si>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</si>
  <si>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</si>
  <si>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</si>
  <si>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</si>
  <si>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</si>
  <si>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</si>
  <si>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</si>
  <si>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</si>
  <si>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</si>
  <si>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</si>
  <si>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</si>
  <si>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</si>
  <si>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</si>
  <si>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</si>
  <si>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</si>
  <si>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</si>
  <si>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</si>
  <si>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</si>
  <si>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</si>
  <si>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</si>
  <si>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</si>
  <si>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</si>
  <si>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</si>
  <si>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</si>
  <si>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</si>
  <si>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</si>
  <si>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</si>
  <si>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</si>
  <si>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</si>
  <si>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</si>
  <si>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</si>
  <si>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</si>
  <si>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</si>
  <si>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</si>
  <si>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</si>
  <si>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</si>
  <si>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</si>
  <si>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</si>
  <si>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</si>
  <si>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</si>
  <si>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</si>
  <si>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</si>
  <si>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</si>
  <si>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</si>
  <si>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</si>
  <si>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</si>
  <si>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</si>
  <si>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</si>
  <si>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</si>
  <si>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</si>
  <si>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</si>
  <si>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</si>
  <si>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</si>
  <si>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</si>
  <si>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</si>
  <si>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</si>
  <si>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</si>
  <si>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</si>
  <si>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</si>
  <si>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</si>
  <si>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</si>
  <si>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</si>
  <si>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</si>
  <si>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</si>
  <si>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</si>
  <si>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</si>
  <si>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</si>
  <si>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</si>
  <si>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</si>
  <si>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</si>
  <si>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</si>
  <si>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</si>
  <si>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</si>
  <si>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</si>
  <si>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</si>
  <si>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</si>
  <si>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</si>
  <si>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</si>
  <si>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</si>
  <si>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</si>
  <si>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</si>
  <si>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</si>
  <si>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</si>
  <si>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</si>
  <si>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</si>
  <si>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</si>
  <si>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</si>
  <si>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</si>
  <si>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my_number</t>
    <phoneticPr fontId="2"/>
  </si>
  <si>
    <t>数値情報</t>
    <rPh sb="0" eb="2">
      <t xml:space="preserve">スウチ </t>
    </rPh>
    <rPh sb="2" eb="4">
      <t xml:space="preserve">ジョウホウ </t>
    </rPh>
    <phoneticPr fontId="2"/>
  </si>
  <si>
    <t>my_string</t>
    <phoneticPr fontId="2"/>
  </si>
  <si>
    <t>文字列情報</t>
    <rPh sb="0" eb="3">
      <t xml:space="preserve">モジレツ </t>
    </rPh>
    <rPh sb="3" eb="5">
      <t xml:space="preserve">ジョウホウ </t>
    </rPh>
    <phoneticPr fontId="2"/>
  </si>
  <si>
    <t>Aa123文字列</t>
    <rPh sb="5" eb="8">
      <t xml:space="preserve">モジレツ </t>
    </rPh>
    <phoneticPr fontId="2"/>
  </si>
  <si>
    <t>my_textarea</t>
    <phoneticPr fontId="2"/>
  </si>
  <si>
    <t>文字列テキストエリア</t>
    <rPh sb="0" eb="1">
      <t xml:space="preserve">モジレツ </t>
    </rPh>
    <phoneticPr fontId="2"/>
  </si>
  <si>
    <t>テキストエリア</t>
    <phoneticPr fontId="2"/>
  </si>
  <si>
    <t>my_list</t>
    <phoneticPr fontId="2"/>
  </si>
  <si>
    <t>リスト項目</t>
    <rPh sb="3" eb="5">
      <t xml:space="preserve">コウモク </t>
    </rPh>
    <phoneticPr fontId="2"/>
  </si>
  <si>
    <t>選択項目</t>
    <rPh sb="0" eb="2">
      <t xml:space="preserve">センタク </t>
    </rPh>
    <rPh sb="2" eb="4">
      <t xml:space="preserve">コウモク </t>
    </rPh>
    <phoneticPr fontId="2"/>
  </si>
  <si>
    <t>a,b,c</t>
    <phoneticPr fontId="2"/>
  </si>
  <si>
    <t>list</t>
  </si>
  <si>
    <t>my_boolean</t>
    <phoneticPr fontId="2"/>
  </si>
  <si>
    <t>真偽値</t>
    <rPh sb="0" eb="2">
      <t xml:space="preserve">シンギ </t>
    </rPh>
    <rPh sb="2" eb="3">
      <t xml:space="preserve">アタイ </t>
    </rPh>
    <phoneticPr fontId="2"/>
  </si>
  <si>
    <t>真偽値</t>
    <rPh sb="0" eb="3">
      <t xml:space="preserve">シンギチ </t>
    </rPh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</si>
  <si>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</si>
  <si>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</si>
  <si>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a</t>
    <phoneticPr fontId="2"/>
  </si>
  <si>
    <t>RDEDatasetTemplateSheet_test_03</t>
    <phoneticPr fontId="2"/>
  </si>
  <si>
    <t>送状定義/固有情報の項目あり、試料情報共通項目あり</t>
    <rPh sb="17" eb="19">
      <t xml:space="preserve">ジョウホウ </t>
    </rPh>
    <rPh sb="19" eb="21">
      <t xml:space="preserve">キョウツウ </t>
    </rPh>
    <rPh sb="21" eb="23">
      <t xml:space="preserve">コウモク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</si>
</sst>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1513</v>
      </c>
      <c r="C1" s="31" t="s">
        <v>1384</v>
      </c>
    </row>
    <row r="2" spans="1:3" ht="18">
      <c r="A2" s="2" t="s">
        <v>1385</v>
      </c>
      <c r="B2" s="16" t="s">
        <v>1513</v>
      </c>
      <c r="C2" s="31" t="s">
        <v>1384</v>
      </c>
    </row>
    <row r="3" spans="1:3" ht="18">
      <c r="A3" s="2" t="s">
        <v>1386</v>
      </c>
      <c r="B3" s="16" t="s">
        <v>1513</v>
      </c>
      <c r="C3" s="31" t="s">
        <v>1387</v>
      </c>
    </row>
    <row r="4" spans="1:3">
      <c r="A4" s="2" t="s">
        <v>1388</v>
      </c>
      <c r="B4" s="31" t="s">
        <v>1514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66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67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67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67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67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7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7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7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7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7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7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7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7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7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7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7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7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7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7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7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7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7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7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7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7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7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7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7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7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7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7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7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7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7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7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7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7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7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7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7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8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3" t="s">
        <v>9</v>
      </c>
      <c r="C1" s="54"/>
      <c r="D1" s="54"/>
      <c r="E1" s="55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0" t="str">
        <f>"https://rde.nims.go.jp/rde/dataset-templates/"&amp;説明!B3&amp;"/invoice.schema.json"</f>
        <v>https://rde.nims.go.jp/rde/dataset-templates/RDEDatasetTemplateSheet_test_03/invoice.schema.json</v>
      </c>
      <c r="C2" s="61"/>
      <c r="D2" s="61"/>
      <c r="E2" s="62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56" t="str">
        <f>説明!B4&amp;": 送状定義"</f>
        <v>送状定義/固有情報の項目あり、試料情報共通項目あり: 送状定義</v>
      </c>
      <c r="C3" s="57"/>
      <c r="D3" s="57"/>
      <c r="E3" s="5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9" t="s">
        <v>5</v>
      </c>
      <c r="B7" s="59" t="s">
        <v>33</v>
      </c>
      <c r="C7" s="4" t="s">
        <v>1402</v>
      </c>
      <c r="D7" s="22" t="s">
        <v>1489</v>
      </c>
      <c r="E7" s="28"/>
      <c r="F7" s="22" t="s">
        <v>1490</v>
      </c>
      <c r="G7" s="22" t="s">
        <v>1489</v>
      </c>
      <c r="H7" s="19" t="s">
        <v>1490</v>
      </c>
      <c r="I7" s="51" t="s">
        <v>1491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1510</v>
      </c>
      <c r="V7" s="19" t="s">
        <v>1511</v>
      </c>
      <c r="W7" s="19"/>
      <c r="X7" s="19"/>
      <c r="Y7" s="19"/>
      <c r="Z7" s="19"/>
      <c r="AA7" s="19"/>
      <c r="AB7" s="19"/>
      <c r="AC7" s="19"/>
    </row>
    <row r="8" spans="1:29">
      <c r="A8" s="59"/>
      <c r="B8" s="59"/>
      <c r="C8" s="4" t="s">
        <v>1402</v>
      </c>
      <c r="D8" s="22" t="s">
        <v>1492</v>
      </c>
      <c r="E8" s="28"/>
      <c r="F8" s="22" t="s">
        <v>1493</v>
      </c>
      <c r="G8" s="22" t="s">
        <v>1492</v>
      </c>
      <c r="H8" s="19" t="s">
        <v>1493</v>
      </c>
      <c r="I8" s="52">
        <v>1</v>
      </c>
      <c r="J8" s="19" t="s">
        <v>2</v>
      </c>
      <c r="K8" s="23"/>
      <c r="L8" s="8"/>
      <c r="M8" s="7" t="s">
        <v>1476</v>
      </c>
      <c r="N8" s="38" t="str">
        <f t="shared" ref="N8:N17" si="0">_xlfn.IFS(M8="integer","integer",M8="number","number",M8="boolean","boolean",TRUE,"string")</f>
        <v>integer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>
        <v>1</v>
      </c>
      <c r="X8" s="19"/>
      <c r="Y8" s="19"/>
      <c r="Z8" s="19"/>
      <c r="AA8" s="19"/>
      <c r="AB8" s="19"/>
      <c r="AC8" s="19"/>
    </row>
    <row r="9" spans="1:29">
      <c r="A9" s="59"/>
      <c r="B9" s="59"/>
      <c r="C9" s="4" t="s">
        <v>1402</v>
      </c>
      <c r="D9" s="22" t="s">
        <v>1494</v>
      </c>
      <c r="E9" s="28"/>
      <c r="F9" s="22" t="s">
        <v>1495</v>
      </c>
      <c r="G9" s="22" t="s">
        <v>1494</v>
      </c>
      <c r="H9" s="19" t="s">
        <v>1495</v>
      </c>
      <c r="I9" s="50">
        <v>1.2</v>
      </c>
      <c r="J9" s="19"/>
      <c r="K9" s="23"/>
      <c r="L9" s="8"/>
      <c r="M9" s="7" t="s">
        <v>1477</v>
      </c>
      <c r="N9" s="38" t="str">
        <f t="shared" si="0"/>
        <v>number</v>
      </c>
      <c r="O9" s="38" t="str">
        <f t="shared" si="1"/>
        <v/>
      </c>
      <c r="P9" s="38" t="str">
        <f t="shared" si="2"/>
        <v/>
      </c>
      <c r="Q9" s="28"/>
      <c r="R9" s="28"/>
      <c r="S9" s="19">
        <v>1.2</v>
      </c>
      <c r="T9" s="19">
        <v>1.2</v>
      </c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9"/>
      <c r="B10" s="59"/>
      <c r="C10" s="4" t="s">
        <v>1402</v>
      </c>
      <c r="D10" s="22" t="s">
        <v>1496</v>
      </c>
      <c r="E10" s="28"/>
      <c r="F10" s="22" t="s">
        <v>1497</v>
      </c>
      <c r="G10" s="22" t="s">
        <v>1496</v>
      </c>
      <c r="H10" s="19" t="s">
        <v>1497</v>
      </c>
      <c r="I10" s="19" t="s">
        <v>1498</v>
      </c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>
        <v>20</v>
      </c>
      <c r="AB10" s="19"/>
      <c r="AC10" s="19"/>
    </row>
    <row r="11" spans="1:29">
      <c r="A11" s="59"/>
      <c r="B11" s="59"/>
      <c r="C11" s="4" t="s">
        <v>1402</v>
      </c>
      <c r="D11" s="22" t="s">
        <v>1499</v>
      </c>
      <c r="E11" s="28"/>
      <c r="F11" s="22" t="s">
        <v>1500</v>
      </c>
      <c r="G11" s="22" t="s">
        <v>1499</v>
      </c>
      <c r="H11" s="19" t="s">
        <v>1500</v>
      </c>
      <c r="I11" s="19" t="s">
        <v>1501</v>
      </c>
      <c r="J11" s="19"/>
      <c r="K11" s="23"/>
      <c r="L11" s="8"/>
      <c r="M11" s="7" t="s">
        <v>1426</v>
      </c>
      <c r="N11" s="38" t="str">
        <f t="shared" si="0"/>
        <v>string</v>
      </c>
      <c r="O11" s="38" t="str">
        <f t="shared" si="1"/>
        <v/>
      </c>
      <c r="P11" s="38" t="str">
        <f t="shared" si="2"/>
        <v>textarea</v>
      </c>
      <c r="Q11" s="28">
        <v>8</v>
      </c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9"/>
      <c r="B12" s="59"/>
      <c r="C12" s="4" t="s">
        <v>1402</v>
      </c>
      <c r="D12" s="22" t="s">
        <v>1502</v>
      </c>
      <c r="E12" s="28"/>
      <c r="F12" s="22" t="s">
        <v>1503</v>
      </c>
      <c r="G12" s="22" t="s">
        <v>1502</v>
      </c>
      <c r="H12" s="19" t="s">
        <v>1504</v>
      </c>
      <c r="I12" s="19" t="s">
        <v>1512</v>
      </c>
      <c r="J12" s="19"/>
      <c r="K12" s="23"/>
      <c r="L12" s="8"/>
      <c r="M12" s="7" t="s">
        <v>1506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 t="s">
        <v>1505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9"/>
      <c r="B13" s="59"/>
      <c r="C13" s="4" t="s">
        <v>1402</v>
      </c>
      <c r="D13" s="22" t="s">
        <v>1507</v>
      </c>
      <c r="E13" s="28"/>
      <c r="F13" s="22" t="s">
        <v>1508</v>
      </c>
      <c r="G13" s="22" t="s">
        <v>1507</v>
      </c>
      <c r="H13" s="19" t="s">
        <v>1509</v>
      </c>
      <c r="I13" s="19" t="b">
        <v>1</v>
      </c>
      <c r="J13" s="19"/>
      <c r="K13" s="23"/>
      <c r="L13" s="8"/>
      <c r="M13" s="7" t="s">
        <v>1478</v>
      </c>
      <c r="N13" s="38" t="str">
        <f t="shared" si="0"/>
        <v>boolean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9"/>
      <c r="B14" s="59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9"/>
      <c r="B15" s="59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9"/>
      <c r="B16" s="59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9"/>
      <c r="B17" s="59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63" t="s">
        <v>1379</v>
      </c>
      <c r="B18" s="59" t="s">
        <v>79</v>
      </c>
      <c r="C18" s="4" t="s">
        <v>1402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64"/>
      <c r="B19" s="59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64"/>
      <c r="B20" s="59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64"/>
      <c r="B21" s="59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64"/>
      <c r="B22" s="59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64"/>
      <c r="B23" s="59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65"/>
      <c r="B24" s="59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63" t="s">
        <v>1380</v>
      </c>
      <c r="B25" s="59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64"/>
      <c r="B26" s="59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64"/>
      <c r="B27" s="59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64"/>
      <c r="B28" s="59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64"/>
      <c r="B29" s="59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64"/>
      <c r="B30" s="59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64"/>
      <c r="B31" s="59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64"/>
      <c r="B32" s="59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65"/>
      <c r="B33" s="59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63" t="s">
        <v>1381</v>
      </c>
      <c r="B34" s="59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64"/>
      <c r="B35" s="59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64"/>
      <c r="B36" s="59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64"/>
      <c r="B37" s="59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64"/>
      <c r="B38" s="59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64"/>
      <c r="B39" s="59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64"/>
      <c r="B40" s="59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64"/>
      <c r="B41" s="59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65"/>
      <c r="B42" s="59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34:B42"/>
    <mergeCell ref="B7:B17"/>
    <mergeCell ref="A18:A24"/>
    <mergeCell ref="A25:A33"/>
    <mergeCell ref="A34:A42"/>
    <mergeCell ref="B1:E1"/>
    <mergeCell ref="B3:E3"/>
    <mergeCell ref="A7:A17"/>
    <mergeCell ref="B25:B33"/>
    <mergeCell ref="B18:B24"/>
    <mergeCell ref="B2:E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https://rde.nims.go.jp/rde/dataset-templates/RDEDatasetTemplateSheet_test_03/catalog.schema.json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送状定義/固有情報の項目あり、試料情報共通項目あり: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RDEDatasetTemplateSheet_test_03:データカタログ定義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RDEDatasetTemplateSheet_test_03:data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