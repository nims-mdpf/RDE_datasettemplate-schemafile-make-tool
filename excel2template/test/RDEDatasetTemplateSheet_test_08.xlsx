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2D067C13-539C-4E4F-B591-10628595F5A9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<sst xmlns="http://schemas.openxmlformats.org/spreadsheetml/2006/main" count="2610" uniqueCount="1516">
  <si>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</si>
  <si>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</si>
  <si>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</si>
  <si>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</si>
  <si>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</si>
  <si>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</si>
  <si>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</si>
  <si>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</si>
  <si>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</si>
  <si>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</si>
  <si>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</si>
  <si>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</si>
  <si>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</si>
  <si>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</si>
  <si>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</si>
  <si>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</si>
  <si>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</si>
  <si>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</si>
  <si>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</si>
  <si>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</si>
  <si>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</si>
  <si>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</si>
  <si>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</si>
  <si>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</si>
  <si>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</si>
  <si>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</si>
  <si>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</si>
  <si>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</si>
  <si>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</si>
  <si>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</si>
  <si>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</si>
  <si>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</si>
  <si>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</si>
  <si>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</si>
  <si>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</si>
  <si>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</si>
  <si>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</si>
  <si>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</si>
  <si>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</si>
  <si>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</si>
  <si>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</si>
  <si>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</si>
  <si>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</si>
  <si>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</si>
  <si>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</si>
  <si>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</si>
  <si>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</si>
  <si>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</si>
  <si>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</si>
  <si>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</si>
  <si>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</si>
  <si>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</si>
  <si>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</si>
  <si>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</si>
  <si>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</si>
  <si>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</si>
  <si>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</si>
  <si>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</si>
  <si>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</si>
  <si>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</si>
  <si>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</si>
  <si>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</si>
  <si>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</si>
  <si>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</si>
  <si>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</si>
  <si>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</si>
  <si>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</si>
  <si>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</si>
  <si>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</si>
  <si>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</si>
  <si>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</si>
  <si>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</si>
  <si>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</si>
  <si>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</si>
  <si>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</si>
  <si>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</si>
  <si>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</si>
  <si>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</si>
  <si>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</si>
  <si>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</si>
  <si>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</si>
  <si>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</si>
  <si>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</si>
  <si>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</si>
  <si>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</si>
  <si>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</si>
  <si>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</si>
  <si>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</si>
  <si>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</si>
  <si>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</si>
  <si>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</si>
  <si>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</si>
  <si>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</si>
  <si>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</si>
  <si>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</si>
  <si>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</si>
  <si>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</si>
  <si>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</si>
  <si>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</si>
  <si>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</si>
  <si>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</si>
  <si>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</si>
  <si>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</si>
  <si>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</si>
  <si>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</si>
  <si>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</si>
  <si>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</si>
  <si>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</si>
  <si>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</si>
  <si>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</si>
  <si>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</si>
  <si>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</si>
  <si>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</si>
  <si>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</si>
  <si>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</si>
  <si>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</si>
  <si>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</si>
  <si>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</si>
  <si>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</si>
  <si>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</si>
  <si>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</si>
  <si>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</si>
  <si>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</si>
  <si>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</si>
  <si>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</si>
  <si>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</si>
  <si>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</si>
  <si>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</si>
  <si>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</si>
  <si>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</si>
  <si>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</si>
  <si>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</si>
  <si>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</si>
  <si>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</si>
  <si>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</si>
  <si>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</si>
  <si>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</si>
  <si>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</si>
  <si>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</si>
  <si>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</si>
  <si>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</si>
  <si>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</si>
  <si>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</si>
  <si>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</si>
  <si>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</si>
  <si>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</si>
  <si>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</si>
  <si>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</si>
  <si>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</si>
  <si>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</si>
  <si>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</si>
  <si>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</si>
  <si>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</si>
  <si>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</si>
  <si>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</si>
  <si>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</si>
  <si>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</si>
  <si>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</si>
  <si>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</si>
  <si>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</si>
  <si>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</si>
  <si>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</si>
  <si>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</si>
  <si>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</si>
  <si>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</si>
  <si>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</si>
  <si>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</si>
  <si>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</si>
  <si>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</si>
  <si>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</si>
  <si>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</si>
  <si>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</si>
  <si>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</si>
  <si>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</si>
  <si>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</si>
  <si>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</si>
  <si>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</si>
  <si>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</si>
  <si>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</si>
  <si>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</si>
  <si>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</si>
  <si>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</si>
  <si>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</si>
  <si>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</si>
  <si>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</si>
  <si>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</si>
  <si>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</si>
  <si>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</si>
  <si>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</si>
  <si>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</si>
  <si>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</si>
  <si>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</si>
  <si>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</si>
  <si>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</si>
  <si>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</si>
  <si>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</si>
  <si>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</si>
  <si>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</si>
  <si>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</si>
  <si>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</si>
  <si>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</si>
  <si>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</si>
  <si>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</si>
  <si>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</si>
  <si>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</si>
  <si>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</si>
  <si>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</si>
  <si>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</si>
  <si>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</si>
  <si>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</si>
  <si>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</si>
  <si>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</si>
  <si>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</si>
  <si>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</si>
  <si>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</si>
  <si>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</si>
  <si>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</si>
  <si>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</si>
  <si>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</si>
  <si>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</si>
  <si>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</si>
  <si>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</si>
  <si>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</si>
  <si>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</si>
  <si>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</si>
  <si>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</si>
  <si>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</si>
  <si>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</si>
  <si>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</si>
  <si>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</si>
  <si>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</si>
  <si>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</si>
  <si>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</si>
  <si>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</si>
  <si>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</si>
  <si>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</si>
  <si>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</si>
  <si>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</si>
  <si>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</si>
  <si>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</si>
  <si>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</si>
  <si>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</si>
  <si>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</si>
  <si>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</si>
  <si>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</si>
  <si>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</si>
  <si>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</si>
  <si>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</si>
  <si>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</si>
  <si>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</si>
  <si>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</si>
  <si>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</si>
  <si>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</si>
  <si>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</si>
  <si>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</si>
  <si>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</si>
  <si>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</si>
  <si>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</si>
  <si>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</si>
  <si>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</si>
  <si>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</si>
  <si>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</si>
  <si>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</si>
  <si>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</si>
  <si>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</si>
  <si>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</si>
  <si>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</si>
  <si>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</si>
  <si>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</si>
  <si>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</si>
  <si>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</si>
  <si>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</si>
  <si>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</si>
  <si>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</si>
  <si>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</si>
  <si>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</si>
  <si>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</si>
  <si>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</si>
  <si>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</si>
  <si>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</si>
  <si>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</si>
  <si>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</si>
  <si>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</si>
  <si>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</si>
  <si>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</si>
  <si>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</si>
  <si>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</si>
  <si>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</si>
  <si>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</si>
  <si>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</si>
  <si>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</si>
  <si>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</si>
  <si>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</si>
  <si>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</si>
  <si>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</si>
  <si>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</si>
  <si>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</si>
  <si>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</si>
  <si>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</si>
  <si>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</si>
  <si>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</si>
  <si>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</si>
  <si>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</si>
  <si>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</si>
  <si>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</si>
  <si>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</si>
  <si>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</si>
  <si>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</si>
  <si>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</si>
  <si>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</si>
  <si>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</si>
  <si>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</si>
  <si>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</si>
  <si>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</si>
  <si>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</si>
  <si>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</si>
  <si>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</si>
  <si>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</si>
  <si>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</si>
  <si>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</si>
  <si>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</si>
  <si>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</si>
  <si>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</si>
  <si>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</si>
  <si>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</si>
  <si>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</si>
  <si>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</si>
  <si>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</si>
  <si>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</si>
  <si>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</si>
  <si>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</si>
  <si>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</si>
  <si>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</si>
  <si>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</si>
  <si>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</si>
  <si>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</si>
  <si>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</si>
  <si>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</si>
  <si>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</si>
  <si>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</si>
  <si>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</si>
  <si>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</si>
  <si>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</si>
  <si>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</si>
  <si>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</si>
  <si>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</si>
  <si>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</si>
  <si>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</si>
  <si>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</si>
  <si>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</si>
  <si>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</si>
  <si>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</si>
  <si>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</si>
  <si>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</si>
  <si>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</si>
  <si>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</si>
  <si>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</si>
  <si>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</si>
  <si>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</si>
  <si>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</si>
  <si>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</si>
  <si>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</si>
  <si>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</si>
  <si>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</si>
  <si>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</si>
  <si>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</si>
  <si>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</si>
  <si>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</si>
  <si>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</si>
  <si>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</si>
  <si>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</si>
  <si>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</si>
  <si>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</si>
  <si>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</si>
  <si>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</si>
  <si>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</si>
  <si>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</si>
  <si>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</si>
  <si>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</si>
  <si>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</si>
  <si>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</si>
  <si>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</si>
  <si>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</si>
  <si>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</si>
  <si>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</si>
  <si>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</si>
  <si>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</si>
  <si>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</si>
  <si>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</si>
  <si>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</si>
  <si>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</si>
  <si>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</si>
  <si>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</si>
  <si>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</si>
  <si>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</si>
  <si>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</si>
  <si>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</si>
  <si>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</si>
  <si>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</si>
  <si>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</si>
  <si>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</si>
  <si>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</si>
  <si>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</si>
  <si>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</si>
  <si>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</si>
  <si>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</si>
  <si>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</si>
  <si>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</si>
  <si>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</si>
  <si>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</si>
  <si>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</si>
  <si>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</si>
  <si>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</si>
  <si>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</si>
  <si>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</si>
  <si>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</si>
  <si>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</si>
  <si>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</si>
  <si>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</si>
  <si>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</si>
  <si>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</si>
  <si>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</si>
  <si>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</si>
  <si>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</si>
  <si>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</si>
  <si>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</si>
  <si>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</si>
  <si>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</si>
  <si>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</si>
  <si>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</si>
  <si>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</si>
  <si>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</si>
  <si>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</si>
  <si>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</si>
  <si>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</si>
  <si>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</si>
  <si>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</si>
  <si>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</si>
  <si>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</si>
  <si>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</si>
  <si>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</si>
  <si>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</si>
  <si>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</si>
  <si>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</si>
  <si>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</si>
  <si>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</si>
  <si>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</si>
  <si>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</si>
  <si>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</si>
  <si>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</si>
  <si>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</si>
  <si>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</si>
  <si>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</si>
  <si>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</si>
  <si>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</si>
  <si>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</si>
  <si>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</si>
  <si>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</si>
  <si>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</si>
  <si>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</si>
  <si>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</si>
  <si>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</si>
  <si>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</si>
  <si>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</si>
  <si>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</si>
  <si>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</si>
  <si>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</si>
  <si>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</si>
  <si>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</si>
  <si>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</si>
  <si>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</si>
  <si>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</si>
  <si>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</si>
  <si>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</si>
  <si>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</si>
  <si>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</si>
  <si>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</si>
  <si>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</si>
  <si>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</si>
  <si>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</si>
  <si>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</si>
  <si>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</si>
  <si>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</si>
  <si>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</si>
  <si>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</si>
  <si>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</si>
  <si>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</si>
  <si>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</si>
  <si>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</si>
  <si>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</si>
  <si>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</si>
  <si>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</si>
  <si>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</si>
  <si>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</si>
  <si>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</si>
  <si>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</si>
  <si>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</si>
  <si>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</si>
  <si>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</si>
  <si>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</si>
  <si>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</si>
  <si>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</si>
  <si>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</si>
  <si>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</si>
  <si>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</si>
  <si>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</si>
  <si>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</si>
  <si>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</si>
  <si>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</si>
  <si>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</si>
  <si>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</si>
  <si>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</si>
  <si>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</si>
  <si>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</si>
  <si>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</si>
  <si>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</si>
  <si>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</si>
  <si>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</si>
  <si>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</si>
  <si>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</si>
  <si>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</si>
  <si>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</si>
  <si>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</si>
  <si>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</si>
  <si>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</si>
  <si>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</si>
  <si>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</si>
  <si>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</si>
  <si>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</si>
  <si>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</si>
  <si>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</si>
  <si>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</si>
  <si>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</si>
  <si>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</si>
  <si>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</si>
  <si>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</si>
  <si>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</si>
  <si>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</si>
  <si>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</si>
  <si>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</si>
  <si>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</si>
  <si>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</si>
  <si>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</si>
  <si>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</si>
  <si>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</si>
  <si>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</si>
  <si>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</si>
  <si>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</si>
  <si>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</si>
  <si>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</si>
  <si>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</si>
  <si>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</si>
  <si>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</si>
  <si>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</si>
  <si>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</si>
  <si>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</si>
  <si>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</si>
  <si>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</si>
  <si>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</si>
  <si>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</si>
  <si>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</si>
  <si>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</si>
  <si>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</si>
  <si>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</si>
  <si>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</si>
  <si>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</si>
  <si>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</si>
  <si>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</si>
  <si>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</si>
  <si>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</si>
  <si>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</si>
  <si>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</si>
  <si>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</si>
  <si>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</si>
  <si>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</si>
  <si>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</si>
  <si>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</si>
  <si>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</si>
  <si>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</si>
  <si>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</si>
  <si>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</si>
  <si>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</si>
  <si>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</si>
  <si>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</si>
  <si>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</si>
  <si>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</si>
  <si>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</si>
  <si>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</si>
  <si>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</si>
  <si>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</si>
  <si>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</si>
  <si>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</si>
  <si>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</si>
  <si>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</si>
  <si>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</si>
  <si>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</si>
  <si>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</si>
  <si>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</si>
  <si>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</si>
  <si>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</si>
  <si>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</si>
  <si>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</si>
  <si>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</si>
  <si>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</si>
  <si>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</si>
  <si>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</si>
  <si>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</si>
  <si>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</si>
  <si>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</si>
  <si>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</si>
  <si>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</si>
  <si>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</si>
  <si>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</si>
  <si>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</si>
  <si>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</si>
  <si>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</si>
  <si>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</si>
  <si>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</si>
  <si>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</si>
  <si>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</si>
  <si>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</si>
  <si>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</si>
  <si>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</si>
  <si>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</si>
  <si>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</si>
  <si>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</si>
  <si>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</si>
  <si>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</si>
  <si>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</si>
  <si>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</si>
  <si>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</si>
  <si>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</si>
  <si>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</si>
  <si>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</si>
  <si>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</si>
  <si>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</si>
  <si>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</si>
  <si>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</si>
  <si>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</si>
  <si>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</si>
  <si>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</si>
  <si>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</si>
  <si>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</si>
  <si>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</si>
  <si>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</si>
  <si>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</si>
  <si>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</si>
  <si>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</si>
  <si>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</si>
  <si>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</si>
  <si>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</si>
  <si>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</si>
  <si>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</si>
  <si>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</si>
  <si>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</si>
  <si>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</si>
  <si>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</si>
  <si>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</si>
  <si>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</si>
  <si>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</si>
  <si>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</si>
  <si>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</si>
  <si>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</si>
  <si>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</si>
  <si>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</si>
  <si>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</si>
  <si>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</si>
  <si>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</si>
  <si>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</si>
  <si>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</si>
  <si>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</si>
  <si>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</si>
  <si>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</si>
  <si>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</si>
  <si>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</si>
  <si>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</si>
  <si>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</si>
  <si>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</si>
  <si>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</si>
  <si>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</si>
  <si>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</si>
  <si>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</si>
  <si>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</si>
  <si>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</si>
  <si>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</si>
  <si>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</si>
  <si>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</si>
  <si>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</si>
  <si>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</si>
  <si>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</si>
  <si>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</si>
  <si>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</si>
  <si>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</si>
  <si>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</si>
  <si>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</si>
  <si>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</si>
  <si>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</si>
  <si>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</si>
  <si>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</si>
  <si>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</si>
  <si>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</si>
  <si>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</si>
  <si>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</si>
  <si>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</si>
  <si>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</si>
  <si>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</si>
  <si>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</si>
  <si>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</si>
  <si>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</si>
  <si>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</si>
  <si>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</si>
  <si>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</si>
  <si>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</si>
  <si>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</si>
  <si>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</si>
  <si>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</si>
  <si>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</si>
  <si>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</si>
  <si>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</si>
  <si>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</si>
  <si>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</si>
  <si>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</si>
  <si>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</si>
  <si>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</si>
  <si>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</si>
  <si>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</si>
  <si>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</si>
  <si>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</si>
  <si>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</si>
  <si>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</si>
  <si>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</si>
  <si>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</si>
  <si>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</si>
  <si>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</si>
  <si>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</si>
  <si>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</si>
  <si>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</si>
  <si>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</si>
  <si>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</si>
  <si>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</si>
  <si>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</si>
  <si>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</si>
  <si>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</si>
  <si>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</si>
  <si>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</si>
  <si>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</si>
  <si>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</si>
  <si>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</si>
  <si>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</si>
  <si>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</si>
  <si>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</si>
  <si>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</si>
  <si>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</si>
  <si>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</si>
  <si>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</si>
  <si>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</si>
  <si>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</si>
  <si>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</si>
  <si>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</si>
  <si>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</si>
  <si>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</si>
  <si>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</si>
  <si>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</si>
  <si>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</si>
  <si>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</si>
  <si>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</si>
  <si>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</si>
  <si>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</si>
  <si>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</si>
  <si>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</si>
  <si>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</si>
  <si>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</si>
  <si>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</si>
  <si>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</si>
  <si>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</si>
  <si>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</si>
  <si>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</si>
  <si>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</si>
  <si>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</si>
  <si>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</si>
  <si>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</si>
  <si>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</si>
  <si>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</si>
  <si>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</si>
  <si>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</si>
  <si>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</si>
  <si>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</si>
  <si>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</si>
  <si>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</si>
  <si>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</si>
  <si>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</si>
  <si>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</si>
  <si>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</si>
  <si>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</si>
  <si>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</si>
  <si>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</si>
  <si>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</si>
  <si>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</si>
  <si>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</si>
  <si>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</si>
  <si>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</si>
  <si>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</si>
  <si>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</si>
  <si>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</si>
  <si>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</si>
  <si>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</si>
  <si>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</si>
  <si>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</si>
  <si>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</si>
  <si>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</si>
  <si>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</si>
  <si>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</si>
  <si>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</si>
  <si>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</si>
  <si>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</si>
  <si>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</si>
  <si>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</si>
  <si>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</si>
  <si>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</si>
  <si>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</si>
  <si>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</si>
  <si>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</si>
  <si>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</si>
  <si>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</si>
  <si>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</si>
  <si>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</si>
  <si>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</si>
  <si>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</si>
  <si>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</si>
  <si>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</si>
  <si>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</si>
  <si>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</si>
  <si>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</si>
  <si>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</si>
  <si>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</si>
  <si>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</si>
  <si>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</si>
  <si>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</si>
  <si>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</si>
  <si>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</si>
  <si>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</si>
  <si>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</si>
  <si>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</si>
  <si>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</si>
  <si>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</si>
  <si>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</si>
  <si>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</si>
  <si>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</si>
  <si>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</si>
  <si>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</si>
  <si>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</si>
  <si>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</si>
  <si>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</si>
  <si>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</si>
  <si>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</si>
  <si>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</si>
  <si>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</si>
  <si>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</si>
  <si>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</si>
  <si>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</si>
  <si>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</si>
  <si>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</si>
  <si>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</si>
  <si>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</si>
  <si>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</si>
  <si>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</si>
  <si>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</si>
  <si>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</si>
  <si>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</si>
  <si>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</si>
  <si>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</si>
  <si>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</si>
  <si>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</si>
  <si>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</si>
  <si>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</si>
  <si>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</si>
  <si>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</si>
  <si>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</si>
  <si>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</si>
  <si>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</si>
  <si>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</si>
  <si>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</si>
  <si>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</si>
  <si>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</si>
  <si>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</si>
  <si>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</si>
  <si>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</si>
  <si>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</si>
  <si>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</si>
  <si>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</si>
  <si>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</si>
  <si>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</si>
  <si>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</si>
  <si>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</si>
  <si>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</si>
  <si>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</si>
  <si>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</si>
  <si>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</si>
  <si>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</si>
  <si>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</si>
  <si>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</si>
  <si>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</si>
  <si>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</si>
  <si>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</si>
  <si>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</si>
  <si>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</si>
  <si>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</si>
  <si>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</si>
  <si>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</si>
  <si>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</si>
  <si>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</si>
  <si>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</si>
  <si>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</si>
  <si>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</si>
  <si>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</si>
  <si>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</si>
  <si>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</si>
  <si>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</si>
  <si>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</si>
  <si>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</si>
  <si>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</si>
  <si>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</si>
  <si>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</si>
  <si>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</si>
  <si>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</si>
  <si>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</si>
  <si>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</si>
  <si>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</si>
  <si>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</si>
  <si>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</si>
  <si>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</si>
  <si>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</si>
  <si>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</si>
  <si>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</si>
  <si>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</si>
  <si>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</si>
  <si>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</si>
  <si>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</si>
  <si>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</si>
  <si>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</si>
  <si>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</si>
  <si>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</si>
  <si>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</si>
  <si>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</si>
  <si>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</si>
  <si>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</si>
  <si>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</si>
  <si>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</si>
  <si>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</si>
  <si>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</si>
  <si>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</si>
  <si>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</si>
  <si>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</si>
  <si>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</si>
  <si>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</si>
  <si>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</si>
  <si>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</si>
  <si>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</si>
  <si>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</si>
  <si>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</si>
  <si>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</si>
  <si>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</si>
  <si>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</si>
  <si>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</si>
  <si>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</si>
  <si>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</si>
  <si>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</si>
  <si>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</si>
  <si>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</si>
  <si>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</si>
  <si>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</si>
  <si>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</si>
  <si>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</si>
  <si>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</si>
  <si>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</si>
  <si>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</si>
  <si>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</si>
  <si>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</si>
  <si>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</si>
  <si>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</si>
  <si>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</si>
  <si>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</si>
  <si>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</si>
  <si>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</si>
  <si>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</si>
  <si>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</si>
  <si>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</si>
  <si>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</si>
  <si>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</si>
  <si>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</si>
  <si>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</si>
  <si>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</si>
  <si>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</si>
  <si>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</si>
  <si>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</si>
  <si>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</si>
  <si>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</si>
  <si>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</si>
  <si>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</si>
  <si>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</si>
  <si>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</si>
  <si>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</si>
  <si>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</si>
  <si>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</si>
  <si>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</si>
  <si>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</si>
  <si>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</si>
  <si>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</si>
  <si>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</si>
  <si>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</si>
  <si>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</si>
  <si>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</si>
  <si>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</si>
  <si>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</si>
  <si>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</si>
  <si>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</si>
  <si>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</si>
  <si>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</si>
  <si>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</si>
  <si>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</si>
  <si>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</si>
  <si>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</si>
  <si>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</si>
  <si>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</si>
  <si>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</si>
  <si>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</si>
  <si>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</si>
  <si>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</si>
  <si>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</si>
  <si>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</si>
  <si>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</si>
  <si>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</si>
  <si>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</si>
  <si>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</si>
  <si>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</si>
  <si>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</si>
  <si>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</si>
  <si>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</si>
  <si>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</si>
  <si>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</si>
  <si>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</si>
  <si>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</si>
  <si>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</si>
  <si>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</si>
  <si>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</si>
  <si>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</si>
  <si>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</si>
  <si>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</si>
  <si>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</si>
  <si>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</si>
  <si>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</si>
  <si>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</si>
  <si>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</si>
  <si>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</si>
  <si>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</si>
  <si>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</si>
  <si>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</si>
  <si>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</si>
  <si>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</si>
  <si>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</si>
  <si>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</si>
  <si>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</si>
  <si>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</si>
  <si>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</si>
  <si>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</si>
  <si>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</si>
  <si>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</si>
  <si>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</si>
  <si>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</si>
  <si>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</si>
  <si>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</si>
  <si>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</si>
  <si>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</si>
  <si>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</si>
  <si>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</si>
  <si>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</si>
  <si>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</si>
  <si>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</si>
  <si>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</si>
  <si>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</si>
  <si>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</si>
  <si>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</si>
  <si>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</si>
  <si>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</si>
  <si>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</si>
  <si>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</si>
  <si>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</si>
  <si>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</si>
  <si>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</si>
  <si>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</si>
  <si>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</si>
  <si>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</si>
  <si>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</si>
  <si>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</si>
  <si>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</si>
  <si>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</si>
  <si>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</si>
  <si>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</si>
  <si>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</si>
  <si>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</si>
  <si>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</si>
  <si>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</si>
  <si>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</si>
  <si>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</si>
  <si>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</si>
  <si>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</si>
  <si>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</si>
  <si>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</si>
  <si>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</si>
  <si>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</si>
  <si>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</si>
  <si>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</si>
  <si>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</si>
  <si>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</si>
  <si>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</si>
  <si>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</si>
  <si>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</si>
  <si>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</si>
  <si>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</si>
  <si>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</si>
  <si>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</si>
  <si>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</si>
  <si>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</si>
  <si>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</si>
  <si>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</si>
  <si>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</si>
  <si>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</si>
  <si>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</si>
  <si>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</si>
  <si>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</si>
  <si>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</si>
  <si>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</si>
  <si>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</si>
  <si>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</si>
  <si>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</si>
  <si>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</si>
  <si>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</si>
  <si>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</si>
  <si>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</si>
  <si>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</si>
  <si>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</si>
  <si>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</si>
  <si>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</si>
  <si>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</si>
  <si>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</si>
  <si>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</si>
  <si>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</si>
  <si>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</si>
  <si>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</si>
  <si>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</si>
  <si>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</si>
  <si>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</si>
  <si>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</si>
  <si>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</si>
  <si>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</si>
  <si>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</si>
  <si>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</si>
  <si>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</si>
  <si>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</si>
  <si>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</si>
  <si>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</si>
  <si>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</si>
  <si>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</si>
  <si>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</si>
  <si>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</si>
  <si>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</si>
  <si>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</si>
  <si>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</si>
  <si>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</si>
  <si>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</si>
  <si>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</si>
  <si>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</si>
  <si>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</si>
  <si>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</si>
  <si>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</si>
  <si>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</si>
  <si>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</si>
  <si>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</si>
  <si>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</si>
  <si>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</si>
  <si>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</si>
  <si>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</si>
  <si>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</si>
  <si>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</si>
  <si>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</si>
  <si>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</si>
  <si>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</si>
  <si>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</si>
  <si>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</si>
  <si>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</si>
  <si>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</si>
  <si>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</si>
  <si>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</si>
  <si>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</si>
  <si>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</si>
  <si>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</si>
  <si>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</si>
  <si>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</si>
  <si>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</si>
  <si>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</si>
  <si>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</si>
  <si>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</si>
  <si>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</si>
  <si>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</si>
  <si>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</si>
  <si>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</si>
  <si>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</si>
  <si>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</si>
  <si>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</si>
  <si>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</si>
  <si>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</si>
  <si>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</si>
  <si>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</si>
  <si>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</si>
  <si>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</si>
  <si>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</si>
  <si>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</si>
  <si>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</si>
  <si>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</si>
  <si>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</si>
  <si>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</si>
  <si>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</si>
  <si>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</si>
  <si>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</si>
  <si>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</si>
  <si>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</si>
  <si>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</si>
  <si>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</si>
  <si>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</si>
  <si>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</si>
  <si>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</si>
  <si>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</si>
  <si>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</si>
  <si>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</si>
  <si>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</si>
  <si>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</si>
  <si>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</si>
  <si>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</si>
  <si>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</si>
  <si>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</si>
  <si>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</si>
  <si>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</si>
  <si>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</si>
  <si>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</si>
  <si>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</si>
  <si>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</si>
  <si>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</si>
  <si>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</si>
  <si>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</si>
  <si>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</si>
  <si>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</si>
  <si>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</si>
  <si>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</si>
  <si>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</si>
  <si>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</si>
  <si>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</si>
  <si>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</si>
  <si>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</si>
  <si>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</si>
  <si>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</si>
  <si>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</si>
  <si>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</si>
  <si>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</si>
  <si>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</si>
  <si>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</si>
  <si>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</si>
  <si>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</si>
  <si>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</si>
  <si>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</si>
  <si>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</si>
  <si>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</si>
  <si>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</si>
  <si>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</si>
  <si>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</si>
  <si>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</si>
  <si>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</si>
  <si>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</si>
  <si>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</si>
  <si>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</si>
  <si>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</si>
  <si>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</si>
  <si>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</si>
  <si>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</si>
  <si>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</si>
  <si>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</si>
  <si>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</si>
  <si>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</si>
  <si>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</si>
  <si>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</si>
  <si>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</si>
  <si>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</si>
  <si>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</si>
  <si>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</si>
  <si>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</si>
  <si>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</si>
  <si>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</si>
  <si>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</si>
  <si>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</si>
  <si>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</si>
  <si>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</si>
  <si>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</si>
  <si>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</si>
  <si>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</si>
  <si>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</si>
  <si>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</si>
  <si>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</si>
  <si>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</si>
  <si>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</si>
  <si>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</si>
  <si>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</si>
  <si>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</si>
  <si>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</si>
  <si>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</si>
  <si>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</si>
  <si>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</si>
  <si>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</si>
  <si>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</si>
  <si>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</si>
  <si>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</si>
  <si>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</si>
  <si>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</si>
  <si>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</si>
  <si>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</si>
  <si>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</si>
  <si>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</si>
  <si>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</si>
  <si>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</si>
  <si>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</si>
  <si>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</si>
  <si>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</si>
  <si>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</si>
  <si>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</si>
  <si>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</si>
  <si>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</si>
  <si>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</si>
  <si>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</si>
  <si>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</si>
  <si>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</si>
  <si>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</si>
  <si>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</si>
  <si>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</si>
  <si>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</si>
  <si>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</si>
  <si>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</si>
  <si>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</si>
  <si>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</si>
  <si>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</si>
  <si>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</si>
  <si>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</si>
  <si>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</si>
  <si>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</si>
  <si>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</si>
  <si>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</si>
  <si>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</si>
  <si>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</si>
  <si>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</si>
  <si>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</si>
  <si>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</si>
  <si>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</si>
  <si>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</si>
  <si>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</si>
  <si>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</si>
  <si>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</si>
  <si>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</si>
  <si>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</si>
  <si>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</si>
  <si>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</si>
  <si>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</si>
  <si>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</si>
  <si>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</si>
  <si>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</si>
  <si>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</si>
  <si>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</si>
  <si>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</si>
  <si>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</si>
  <si>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</si>
  <si>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</si>
  <si>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</si>
  <si>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</si>
  <si>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</si>
  <si>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</si>
  <si>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</si>
  <si>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</si>
  <si>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</si>
  <si>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</si>
  <si>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</si>
  <si>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</si>
  <si>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</si>
  <si>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</si>
  <si>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</si>
  <si>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</si>
  <si>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</si>
  <si>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</si>
  <si>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</si>
  <si>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</si>
  <si>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</si>
  <si>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</si>
  <si>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</si>
  <si>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</si>
  <si>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</si>
  <si>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</si>
  <si>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</si>
  <si>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</si>
  <si>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</si>
  <si>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</si>
  <si>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</si>
  <si>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</si>
  <si>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</si>
  <si>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</si>
  <si>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</si>
  <si>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</si>
  <si>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</si>
  <si>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</si>
  <si>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</si>
  <si>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</si>
  <si>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</si>
  <si>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</si>
  <si>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</si>
  <si>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</si>
  <si>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</si>
  <si>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</si>
  <si>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</si>
  <si>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</si>
  <si>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</si>
  <si>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</si>
  <si>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</si>
  <si>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</si>
  <si>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</si>
  <si>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</si>
  <si>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</si>
  <si>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</si>
  <si>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</si>
  <si>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</si>
  <si>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</si>
  <si>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</si>
  <si>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</si>
  <si>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</si>
  <si>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</si>
  <si>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</si>
  <si>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</si>
  <si>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</si>
  <si>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</si>
  <si>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</si>
  <si>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</si>
  <si>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</si>
  <si>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</si>
  <si>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</si>
  <si>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</si>
  <si>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</si>
  <si>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</si>
  <si>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</si>
  <si>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</si>
  <si>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</si>
  <si>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</si>
  <si>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</si>
  <si>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</si>
  <si>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</si>
  <si>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</si>
  <si>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</si>
  <si>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</si>
  <si>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</si>
  <si>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</si>
  <si>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</si>
  <si>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</si>
  <si>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</si>
  <si>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</si>
  <si>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</si>
  <si>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</si>
  <si>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</si>
  <si>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</si>
  <si>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</si>
  <si>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</si>
  <si>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</si>
  <si>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</si>
  <si>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</si>
  <si>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</si>
  <si>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</si>
  <si>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</si>
  <si>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</si>
  <si>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</si>
  <si>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</si>
  <si>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</si>
  <si>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</si>
  <si>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</si>
  <si>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</si>
  <si>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</si>
  <si>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</si>
  <si>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</si>
  <si>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</si>
  <si>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</si>
  <si>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</si>
  <si>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</si>
  <si>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</si>
  <si>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</si>
  <si>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</si>
  <si>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</si>
  <si>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</si>
  <si>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</si>
  <si>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</si>
  <si>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</si>
  <si>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</si>
  <si>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</si>
  <si>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</si>
  <si>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</si>
  <si>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</si>
  <si>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</si>
  <si>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</si>
  <si>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</si>
  <si>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</si>
  <si>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</si>
  <si>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</si>
  <si>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</si>
  <si>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</si>
  <si>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送状定義/固有情報の項目あり、試料情報共通項目なし、一般項目なし、分類別項目あり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6" eb="30">
      <t xml:space="preserve">イッパンコウモク </t>
    </rPh>
    <rPh sb="33" eb="36">
      <t xml:space="preserve">ブンルイベツ </t>
    </rPh>
    <rPh sb="36" eb="38">
      <t xml:space="preserve">コウモク </t>
    </rPh>
    <phoneticPr fontId="2"/>
  </si>
  <si>
    <t>RDEDatasetTemplateSheet_test_08</t>
    <phoneticPr fontId="2"/>
  </si>
  <si>
    <t>有機材料/化学式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</si>
</sst>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1514</v>
      </c>
      <c r="C1" s="31" t="s">
        <v>1384</v>
      </c>
    </row>
    <row r="2" spans="1:3" ht="18">
      <c r="A2" s="2" t="s">
        <v>1385</v>
      </c>
      <c r="B2" s="16" t="s">
        <v>1514</v>
      </c>
      <c r="C2" s="31" t="s">
        <v>1384</v>
      </c>
    </row>
    <row r="3" spans="1:3" ht="18">
      <c r="A3" s="2" t="s">
        <v>1386</v>
      </c>
      <c r="B3" s="16" t="s">
        <v>1514</v>
      </c>
      <c r="C3" s="31" t="s">
        <v>1387</v>
      </c>
    </row>
    <row r="4" spans="1:3">
      <c r="A4" s="2" t="s">
        <v>1388</v>
      </c>
      <c r="B4" s="31" t="s">
        <v>1513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3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0" t="s">
        <v>9</v>
      </c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6" t="str">
        <f>"https://rde.nims.go.jp/rde/dataset-templates/"&amp;説明!B3&amp;"/invoice.schema.json"</f>
        <v>https://rde.nims.go.jp/rde/dataset-templates/RDEDatasetTemplateSheet_test_08/invoice.schema.json</v>
      </c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3" t="str">
        <f>説明!B4&amp;": 送状定義"</f>
        <v>送状定義/固有情報の項目あり、試料情報共通項目なし、一般項目なし、分類別項目あり: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6"/>
      <c r="B8" s="56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6"/>
      <c r="B9" s="56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6"/>
      <c r="B10" s="56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6"/>
      <c r="B11" s="56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6"/>
      <c r="B12" s="56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6"/>
      <c r="B13" s="56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6"/>
      <c r="B14" s="56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7" t="s">
        <v>1379</v>
      </c>
      <c r="B18" s="56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 t="s">
        <v>1380</v>
      </c>
      <c r="B25" s="56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7" t="s">
        <v>1381</v>
      </c>
      <c r="B34" s="56" t="s">
        <v>41</v>
      </c>
      <c r="C34" s="4" t="s">
        <v>1402</v>
      </c>
      <c r="D34" s="27" t="str">
        <f>IFERROR(INDEX(sample.specific_sample_term!A:M,MATCH($E34,sample.specific_sample_term!L:L,FALSE),3),"")</f>
        <v>sample.specific.organic.chemical-formula</v>
      </c>
      <c r="E34" s="21" t="s">
        <v>1515</v>
      </c>
      <c r="F34" s="27" t="str">
        <f>IFERROR(INDEX(sample.specific_sample_term!A:M,MATCH($E34,sample.specific_sample_term!L:L,FALSE),12),"")</f>
        <v>有機材料/化学式</v>
      </c>
      <c r="G34" s="27" t="str">
        <f>IFERROR(INDEX(sample.specific_sample_term!A:M,MATCH($E34,sample.specific_sample_term!L:L,FALSE),13),"")</f>
        <v>organic material/Chemical formula</v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>化学式を入力してください</v>
      </c>
      <c r="V34" s="27" t="str">
        <f>IFERROR(INDEX(sample.specific_sample_term!A:M,MATCH($E34,sample.specific_sample_term!L:L,FALSE),9),"")</f>
        <v>Please enter Chemical formula</v>
      </c>
      <c r="W34" s="28"/>
      <c r="X34" s="28"/>
      <c r="Y34" s="28"/>
      <c r="Z34" s="28"/>
      <c r="AA34" s="28"/>
      <c r="AB34" s="28"/>
      <c r="AC34" s="28"/>
    </row>
    <row r="35" spans="1:29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3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https://rde.nims.go.jp/rde/dataset-templates/RDEDatasetTemplateSheet_test_08/catalog.schema.json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送状定義/固有情報の項目あり、試料情報共通項目なし、一般項目なし、分類別項目あり: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RDEDatasetTemplateSheet_test_08:データカタログ定義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RDEDatasetTemplateSheet_test_08:data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