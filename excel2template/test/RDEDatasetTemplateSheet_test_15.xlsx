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00C4E879-47B5-1948-966D-7710F4941FAB}" xr6:coauthVersionLast="47" xr6:coauthVersionMax="47" xr10:uidLastSave="{00000000-0000-0000-0000-000000000000}"/>
  <bookViews>
    <workbookView xWindow="39020" yWindow="600" windowWidth="31340" windowHeight="21040" activeTab="3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<sst xmlns="http://schemas.openxmlformats.org/spreadsheetml/2006/main" count="2570" uniqueCount="1487">
  <si>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</si>
  <si>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</si>
  <si>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</si>
  <si>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</si>
  <si>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</si>
  <si>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</si>
  <si>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</si>
  <si>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</si>
  <si>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</si>
  <si>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</si>
  <si>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</si>
  <si>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</si>
  <si>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</si>
  <si>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</si>
  <si>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</si>
  <si>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</si>
  <si>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</si>
  <si>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</si>
  <si>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</si>
  <si>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</si>
  <si>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</si>
  <si>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</si>
  <si>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</si>
  <si>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</si>
  <si>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</si>
  <si>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</si>
  <si>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</si>
  <si>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</si>
  <si>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</si>
  <si>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</si>
  <si>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</si>
  <si>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</si>
  <si>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</si>
  <si>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</si>
  <si>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</si>
  <si>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</si>
  <si>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</si>
  <si>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</si>
  <si>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</si>
  <si>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</si>
  <si>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</si>
  <si>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</si>
  <si>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</si>
  <si>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</si>
  <si>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</si>
  <si>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</si>
  <si>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</si>
  <si>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</si>
  <si>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</si>
  <si>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</si>
  <si>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</si>
  <si>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</si>
  <si>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</si>
  <si>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</si>
  <si>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</si>
  <si>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</si>
  <si>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</si>
  <si>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</si>
  <si>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</si>
  <si>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</si>
  <si>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</si>
  <si>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</si>
  <si>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</si>
  <si>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</si>
  <si>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</si>
  <si>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</si>
  <si>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</si>
  <si>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</si>
  <si>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</si>
  <si>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</si>
  <si>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</si>
  <si>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</si>
  <si>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</si>
  <si>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</si>
  <si>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</si>
  <si>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</si>
  <si>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</si>
  <si>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</si>
  <si>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</si>
  <si>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</si>
  <si>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</si>
  <si>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</si>
  <si>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</si>
  <si>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</si>
  <si>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</si>
  <si>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</si>
  <si>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</si>
  <si>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</si>
  <si>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</si>
  <si>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</si>
  <si>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</si>
  <si>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</si>
  <si>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</si>
  <si>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</si>
  <si>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</si>
  <si>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</si>
  <si>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</si>
  <si>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</si>
  <si>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</si>
  <si>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</si>
  <si>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</si>
  <si>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</si>
  <si>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</si>
  <si>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</si>
  <si>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</si>
  <si>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</si>
  <si>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</si>
  <si>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</si>
  <si>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</si>
  <si>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</si>
  <si>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</si>
  <si>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</si>
  <si>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</si>
  <si>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</si>
  <si>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</si>
  <si>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</si>
  <si>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</si>
  <si>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</si>
  <si>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</si>
  <si>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</si>
  <si>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</si>
  <si>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</si>
  <si>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</si>
  <si>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</si>
  <si>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</si>
  <si>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</si>
  <si>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</si>
  <si>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</si>
  <si>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</si>
  <si>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</si>
  <si>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</si>
  <si>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</si>
  <si>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</si>
  <si>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</si>
  <si>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</si>
  <si>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</si>
  <si>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</si>
  <si>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</si>
  <si>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</si>
  <si>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</si>
  <si>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</si>
  <si>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</si>
  <si>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</si>
  <si>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</si>
  <si>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</si>
  <si>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</si>
  <si>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</si>
  <si>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</si>
  <si>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</si>
  <si>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</si>
  <si>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</si>
  <si>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</si>
  <si>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</si>
  <si>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</si>
  <si>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</si>
  <si>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</si>
  <si>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</si>
  <si>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</si>
  <si>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</si>
  <si>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</si>
  <si>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</si>
  <si>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</si>
  <si>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</si>
  <si>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</si>
  <si>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</si>
  <si>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</si>
  <si>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</si>
  <si>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</si>
  <si>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</si>
  <si>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</si>
  <si>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</si>
  <si>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</si>
  <si>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</si>
  <si>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</si>
  <si>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</si>
  <si>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</si>
  <si>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</si>
  <si>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</si>
  <si>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</si>
  <si>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</si>
  <si>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</si>
  <si>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</si>
  <si>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</si>
  <si>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</si>
  <si>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</si>
  <si>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</si>
  <si>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</si>
  <si>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</si>
  <si>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</si>
  <si>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</si>
  <si>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</si>
  <si>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</si>
  <si>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</si>
  <si>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</si>
  <si>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</si>
  <si>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</si>
  <si>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</si>
  <si>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</si>
  <si>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</si>
  <si>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</si>
  <si>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</si>
  <si>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</si>
  <si>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</si>
  <si>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</si>
  <si>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</si>
  <si>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</si>
  <si>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</si>
  <si>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</si>
  <si>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</si>
  <si>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</si>
  <si>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</si>
  <si>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</si>
  <si>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</si>
  <si>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</si>
  <si>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</si>
  <si>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</si>
  <si>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</si>
  <si>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</si>
  <si>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</si>
  <si>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</si>
  <si>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</si>
  <si>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</si>
  <si>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</si>
  <si>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</si>
  <si>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</si>
  <si>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</si>
  <si>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</si>
  <si>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</si>
  <si>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</si>
  <si>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</si>
  <si>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</si>
  <si>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</si>
  <si>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</si>
  <si>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</si>
  <si>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</si>
  <si>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</si>
  <si>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</si>
  <si>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</si>
  <si>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</si>
  <si>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</si>
  <si>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</si>
  <si>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</si>
  <si>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</si>
  <si>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</si>
  <si>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</si>
  <si>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</si>
  <si>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</si>
  <si>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</si>
  <si>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</si>
  <si>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</si>
  <si>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</si>
  <si>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</si>
  <si>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</si>
  <si>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</si>
  <si>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</si>
  <si>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</si>
  <si>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</si>
  <si>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</si>
  <si>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</si>
  <si>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</si>
  <si>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</si>
  <si>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</si>
  <si>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</si>
  <si>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</si>
  <si>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</si>
  <si>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</si>
  <si>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</si>
  <si>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</si>
  <si>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</si>
  <si>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</si>
  <si>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</si>
  <si>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</si>
  <si>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</si>
  <si>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</si>
  <si>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</si>
  <si>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</si>
  <si>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</si>
  <si>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</si>
  <si>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</si>
  <si>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</si>
  <si>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</si>
  <si>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</si>
  <si>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</si>
  <si>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</si>
  <si>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</si>
  <si>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</si>
  <si>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</si>
  <si>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</si>
  <si>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</si>
  <si>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</si>
  <si>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</si>
  <si>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</si>
  <si>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</si>
  <si>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</si>
  <si>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</si>
  <si>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</si>
  <si>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</si>
  <si>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</si>
  <si>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</si>
  <si>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</si>
  <si>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</si>
  <si>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</si>
  <si>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</si>
  <si>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</si>
  <si>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</si>
  <si>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</si>
  <si>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</si>
  <si>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</si>
  <si>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</si>
  <si>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</si>
  <si>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</si>
  <si>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</si>
  <si>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</si>
  <si>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</si>
  <si>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</si>
  <si>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</si>
  <si>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</si>
  <si>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</si>
  <si>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</si>
  <si>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</si>
  <si>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</si>
  <si>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</si>
  <si>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</si>
  <si>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</si>
  <si>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</si>
  <si>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</si>
  <si>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</si>
  <si>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</si>
  <si>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</si>
  <si>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</si>
  <si>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</si>
  <si>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</si>
  <si>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</si>
  <si>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</si>
  <si>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</si>
  <si>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</si>
  <si>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</si>
  <si>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</si>
  <si>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</si>
  <si>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</si>
  <si>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</si>
  <si>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</si>
  <si>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</si>
  <si>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</si>
  <si>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</si>
  <si>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</si>
  <si>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</si>
  <si>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</si>
  <si>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</si>
  <si>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</si>
  <si>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</si>
  <si>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</si>
  <si>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</si>
  <si>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</si>
  <si>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</si>
  <si>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</si>
  <si>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</si>
  <si>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</si>
  <si>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</si>
  <si>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</si>
  <si>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</si>
  <si>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</si>
  <si>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</si>
  <si>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</si>
  <si>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</si>
  <si>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</si>
  <si>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</si>
  <si>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</si>
  <si>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</si>
  <si>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</si>
  <si>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</si>
  <si>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</si>
  <si>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</si>
  <si>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</si>
  <si>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</si>
  <si>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</si>
  <si>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</si>
  <si>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</si>
  <si>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</si>
  <si>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</si>
  <si>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</si>
  <si>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</si>
  <si>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</si>
  <si>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</si>
  <si>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</si>
  <si>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</si>
  <si>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</si>
  <si>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</si>
  <si>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</si>
  <si>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</si>
  <si>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</si>
  <si>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</si>
  <si>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</si>
  <si>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</si>
  <si>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</si>
  <si>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</si>
  <si>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</si>
  <si>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</si>
  <si>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</si>
  <si>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</si>
  <si>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</si>
  <si>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</si>
  <si>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</si>
  <si>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</si>
  <si>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</si>
  <si>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</si>
  <si>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</si>
  <si>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</si>
  <si>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</si>
  <si>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</si>
  <si>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</si>
  <si>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</si>
  <si>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</si>
  <si>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</si>
  <si>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</si>
  <si>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</si>
  <si>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</si>
  <si>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</si>
  <si>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</si>
  <si>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</si>
  <si>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</si>
  <si>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</si>
  <si>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</si>
  <si>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</si>
  <si>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</si>
  <si>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</si>
  <si>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</si>
  <si>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</si>
  <si>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</si>
  <si>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</si>
  <si>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</si>
  <si>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</si>
  <si>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</si>
  <si>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</si>
  <si>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</si>
  <si>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</si>
  <si>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</si>
  <si>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</si>
  <si>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</si>
  <si>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</si>
  <si>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</si>
  <si>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</si>
  <si>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</si>
  <si>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</si>
  <si>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</si>
  <si>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</si>
  <si>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</si>
  <si>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</si>
  <si>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</si>
  <si>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</si>
  <si>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</si>
  <si>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</si>
  <si>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</si>
  <si>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</si>
  <si>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</si>
  <si>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</si>
  <si>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</si>
  <si>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</si>
  <si>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</si>
  <si>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</si>
  <si>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</si>
  <si>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</si>
  <si>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</si>
  <si>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</si>
  <si>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</si>
  <si>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</si>
  <si>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</si>
  <si>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</si>
  <si>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</si>
  <si>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</si>
  <si>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</si>
  <si>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</si>
  <si>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</si>
  <si>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</si>
  <si>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</si>
  <si>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</si>
  <si>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</si>
  <si>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</si>
  <si>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</si>
  <si>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</si>
  <si>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</si>
  <si>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</si>
  <si>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</si>
  <si>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</si>
  <si>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</si>
  <si>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</si>
  <si>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</si>
  <si>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</si>
  <si>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</si>
  <si>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</si>
  <si>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</si>
  <si>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</si>
  <si>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</si>
  <si>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</si>
  <si>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</si>
  <si>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</si>
  <si>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</si>
  <si>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</si>
  <si>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</si>
  <si>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</si>
  <si>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</si>
  <si>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</si>
  <si>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</si>
  <si>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</si>
  <si>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</si>
  <si>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</si>
  <si>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</si>
  <si>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</si>
  <si>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</si>
  <si>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</si>
  <si>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</si>
  <si>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</si>
  <si>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</si>
  <si>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</si>
  <si>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</si>
  <si>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</si>
  <si>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</si>
  <si>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</si>
  <si>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</si>
  <si>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</si>
  <si>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</si>
  <si>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</si>
  <si>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</si>
  <si>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</si>
  <si>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</si>
  <si>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</si>
  <si>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</si>
  <si>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</si>
  <si>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</si>
  <si>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</si>
  <si>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</si>
  <si>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</si>
  <si>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</si>
  <si>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</si>
  <si>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</si>
  <si>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</si>
  <si>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</si>
  <si>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</si>
  <si>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</si>
  <si>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</si>
  <si>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</si>
  <si>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</si>
  <si>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</si>
  <si>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</si>
  <si>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</si>
  <si>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</si>
  <si>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</si>
  <si>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</si>
  <si>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</si>
  <si>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</si>
  <si>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</si>
  <si>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</si>
  <si>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</si>
  <si>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</si>
  <si>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</si>
  <si>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</si>
  <si>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</si>
  <si>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</si>
  <si>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</si>
  <si>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</si>
  <si>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</si>
  <si>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</si>
  <si>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</si>
  <si>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</si>
  <si>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</si>
  <si>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</si>
  <si>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</si>
  <si>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</si>
  <si>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</si>
  <si>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</si>
  <si>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</si>
  <si>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</si>
  <si>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</si>
  <si>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</si>
  <si>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</si>
  <si>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</si>
  <si>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</si>
  <si>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</si>
  <si>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</si>
  <si>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</si>
  <si>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</si>
  <si>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</si>
  <si>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</si>
  <si>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</si>
  <si>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</si>
  <si>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</si>
  <si>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</si>
  <si>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</si>
  <si>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</si>
  <si>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</si>
  <si>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</si>
  <si>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</si>
  <si>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</si>
  <si>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</si>
  <si>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</si>
  <si>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</si>
  <si>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</si>
  <si>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</si>
  <si>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</si>
  <si>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</si>
  <si>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</si>
  <si>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</si>
  <si>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</si>
  <si>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</si>
  <si>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</si>
  <si>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</si>
  <si>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</si>
  <si>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</si>
  <si>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</si>
  <si>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</si>
  <si>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</si>
  <si>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</si>
  <si>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</si>
  <si>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</si>
  <si>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</si>
  <si>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</si>
  <si>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</si>
  <si>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</si>
  <si>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</si>
  <si>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</si>
  <si>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</si>
  <si>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</si>
  <si>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</si>
  <si>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</si>
  <si>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</si>
  <si>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</si>
  <si>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</si>
  <si>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</si>
  <si>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</si>
  <si>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</si>
  <si>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</si>
  <si>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</si>
  <si>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</si>
  <si>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</si>
  <si>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</si>
  <si>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</si>
  <si>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</si>
  <si>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</si>
  <si>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</si>
  <si>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</si>
  <si>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</si>
  <si>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</si>
  <si>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</si>
  <si>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</si>
  <si>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</si>
  <si>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</si>
  <si>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</si>
  <si>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</si>
  <si>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</si>
  <si>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</si>
  <si>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</si>
  <si>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</si>
  <si>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</si>
  <si>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</si>
  <si>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</si>
  <si>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</si>
  <si>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</si>
  <si>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</si>
  <si>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</si>
  <si>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</si>
  <si>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</si>
  <si>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</si>
  <si>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</si>
  <si>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</si>
  <si>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</si>
  <si>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</si>
  <si>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</si>
  <si>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</si>
  <si>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</si>
  <si>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</si>
  <si>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</si>
  <si>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</si>
  <si>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</si>
  <si>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</si>
  <si>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</si>
  <si>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</si>
  <si>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</si>
  <si>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</si>
  <si>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</si>
  <si>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</si>
  <si>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</si>
  <si>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</si>
  <si>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</si>
  <si>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</si>
  <si>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</si>
  <si>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</si>
  <si>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</si>
  <si>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</si>
  <si>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</si>
  <si>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</si>
  <si>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</si>
  <si>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</si>
  <si>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</si>
  <si>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</si>
  <si>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</si>
  <si>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</si>
  <si>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</si>
  <si>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</si>
  <si>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</si>
  <si>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</si>
  <si>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</si>
  <si>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</si>
  <si>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</si>
  <si>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</si>
  <si>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</si>
  <si>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</si>
  <si>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</si>
  <si>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</si>
  <si>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</si>
  <si>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</si>
  <si>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</si>
  <si>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</si>
  <si>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</si>
  <si>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</si>
  <si>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</si>
  <si>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</si>
  <si>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</si>
  <si>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</si>
  <si>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</si>
  <si>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</si>
  <si>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</si>
  <si>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</si>
  <si>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</si>
  <si>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</si>
  <si>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</si>
  <si>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</si>
  <si>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</si>
  <si>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</si>
  <si>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</si>
  <si>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</si>
  <si>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</si>
  <si>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</si>
  <si>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</si>
  <si>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</si>
  <si>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</si>
  <si>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</si>
  <si>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</si>
  <si>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</si>
  <si>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</si>
  <si>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</si>
  <si>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</si>
  <si>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</si>
  <si>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</si>
  <si>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</si>
  <si>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</si>
  <si>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</si>
  <si>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</si>
  <si>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</si>
  <si>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</si>
  <si>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</si>
  <si>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</si>
  <si>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</si>
  <si>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</si>
  <si>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</si>
  <si>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</si>
  <si>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</si>
  <si>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</si>
  <si>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</si>
  <si>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</si>
  <si>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</si>
  <si>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</si>
  <si>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</si>
  <si>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</si>
  <si>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</si>
  <si>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</si>
  <si>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</si>
  <si>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</si>
  <si>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</si>
  <si>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</si>
  <si>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</si>
  <si>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</si>
  <si>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</si>
  <si>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</si>
  <si>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</si>
  <si>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</si>
  <si>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</si>
  <si>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</si>
  <si>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</si>
  <si>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</si>
  <si>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</si>
  <si>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</si>
  <si>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</si>
  <si>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</si>
  <si>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</si>
  <si>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</si>
  <si>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</si>
  <si>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</si>
  <si>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</si>
  <si>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</si>
  <si>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</si>
  <si>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</si>
  <si>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</si>
  <si>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</si>
  <si>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</si>
  <si>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</si>
  <si>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</si>
  <si>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</si>
  <si>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</si>
  <si>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</si>
  <si>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</si>
  <si>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</si>
  <si>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</si>
  <si>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</si>
  <si>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</si>
  <si>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</si>
  <si>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</si>
  <si>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</si>
  <si>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</si>
  <si>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</si>
  <si>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</si>
  <si>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</si>
  <si>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</si>
  <si>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</si>
  <si>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</si>
  <si>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</si>
  <si>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</si>
  <si>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</si>
  <si>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</si>
  <si>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</si>
  <si>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</si>
  <si>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</si>
  <si>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</si>
  <si>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</si>
  <si>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</si>
  <si>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</si>
  <si>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</si>
  <si>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</si>
  <si>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</si>
  <si>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</si>
  <si>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</si>
  <si>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</si>
  <si>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</si>
  <si>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</si>
  <si>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</si>
  <si>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</si>
  <si>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</si>
  <si>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</si>
  <si>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</si>
  <si>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</si>
  <si>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</si>
  <si>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</si>
  <si>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</si>
  <si>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</si>
  <si>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</si>
  <si>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</si>
  <si>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</si>
  <si>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</si>
  <si>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</si>
  <si>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</si>
  <si>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</si>
  <si>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</si>
  <si>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</si>
  <si>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</si>
  <si>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</si>
  <si>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</si>
  <si>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</si>
  <si>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</si>
  <si>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</si>
  <si>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</si>
  <si>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</si>
  <si>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</si>
  <si>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</si>
  <si>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</si>
  <si>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</si>
  <si>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</si>
  <si>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</si>
  <si>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</si>
  <si>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</si>
  <si>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</si>
  <si>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</si>
  <si>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</si>
  <si>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</si>
  <si>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</si>
  <si>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</si>
  <si>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</si>
  <si>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</si>
  <si>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</si>
  <si>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</si>
  <si>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</si>
  <si>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</si>
  <si>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</si>
  <si>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</si>
  <si>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</si>
  <si>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</si>
  <si>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</si>
  <si>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</si>
  <si>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</si>
  <si>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</si>
  <si>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</si>
  <si>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</si>
  <si>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</si>
  <si>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</si>
  <si>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</si>
  <si>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</si>
  <si>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</si>
  <si>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</si>
  <si>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</si>
  <si>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</si>
  <si>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</si>
  <si>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</si>
  <si>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</si>
  <si>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</si>
  <si>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</si>
  <si>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</si>
  <si>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</si>
  <si>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</si>
  <si>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</si>
  <si>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</si>
  <si>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</si>
  <si>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</si>
  <si>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</si>
  <si>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</si>
  <si>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</si>
  <si>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</si>
  <si>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</si>
  <si>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</si>
  <si>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</si>
  <si>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</si>
  <si>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</si>
  <si>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</si>
  <si>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</si>
  <si>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</si>
  <si>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</si>
  <si>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</si>
  <si>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</si>
  <si>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</si>
  <si>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</si>
  <si>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</si>
  <si>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</si>
  <si>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</si>
  <si>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</si>
  <si>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</si>
  <si>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</si>
  <si>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</si>
  <si>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</si>
  <si>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</si>
  <si>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</si>
  <si>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</si>
  <si>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</si>
  <si>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</si>
  <si>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</si>
  <si>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</si>
  <si>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</si>
  <si>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</si>
  <si>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</si>
  <si>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</si>
  <si>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</si>
  <si>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</si>
  <si>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</si>
  <si>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</si>
  <si>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</si>
  <si>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</si>
  <si>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</si>
  <si>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</si>
  <si>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</si>
  <si>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</si>
  <si>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</si>
  <si>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</si>
  <si>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</si>
  <si>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</si>
  <si>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</si>
  <si>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</si>
  <si>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</si>
  <si>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</si>
  <si>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</si>
  <si>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</si>
  <si>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</si>
  <si>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</si>
  <si>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</si>
  <si>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</si>
  <si>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</si>
  <si>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</si>
  <si>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</si>
  <si>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</si>
  <si>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</si>
  <si>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</si>
  <si>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</si>
  <si>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</si>
  <si>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</si>
  <si>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</si>
  <si>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</si>
  <si>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</si>
  <si>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</si>
  <si>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</si>
  <si>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</si>
  <si>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</si>
  <si>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</si>
  <si>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</si>
  <si>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</si>
  <si>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</si>
  <si>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</si>
  <si>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</si>
  <si>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</si>
  <si>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</si>
  <si>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</si>
  <si>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</si>
  <si>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</si>
  <si>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</si>
  <si>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</si>
  <si>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</si>
  <si>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</si>
  <si>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</si>
  <si>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</si>
  <si>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</si>
  <si>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</si>
  <si>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</si>
  <si>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</si>
  <si>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</si>
  <si>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</si>
  <si>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</si>
  <si>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</si>
  <si>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</si>
  <si>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</si>
  <si>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</si>
  <si>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</si>
  <si>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</si>
  <si>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</si>
  <si>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</si>
  <si>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</si>
  <si>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</si>
  <si>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</si>
  <si>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</si>
  <si>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</si>
  <si>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</si>
  <si>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</si>
  <si>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</si>
  <si>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</si>
  <si>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</si>
  <si>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</si>
  <si>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</si>
  <si>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</si>
  <si>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</si>
  <si>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</si>
  <si>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</si>
  <si>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</si>
  <si>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</si>
  <si>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</si>
  <si>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</si>
  <si>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</si>
  <si>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</si>
  <si>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</si>
  <si>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</si>
  <si>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</si>
  <si>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</si>
  <si>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</si>
  <si>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</si>
  <si>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</si>
  <si>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</si>
  <si>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</si>
  <si>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</si>
  <si>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</si>
  <si>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</si>
  <si>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</si>
  <si>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</si>
  <si>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</si>
  <si>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</si>
  <si>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</si>
  <si>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</si>
  <si>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</si>
  <si>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</si>
  <si>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</si>
  <si>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</si>
  <si>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</si>
  <si>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</si>
  <si>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</si>
  <si>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</si>
  <si>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</si>
  <si>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</si>
  <si>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</si>
  <si>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</si>
  <si>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</si>
  <si>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</si>
  <si>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</si>
  <si>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</si>
  <si>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</si>
  <si>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</si>
  <si>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</si>
  <si>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</si>
  <si>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</si>
  <si>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</si>
  <si>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</si>
  <si>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</si>
  <si>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</si>
  <si>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</si>
  <si>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</si>
  <si>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</si>
  <si>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</si>
  <si>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</si>
  <si>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</si>
  <si>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</si>
  <si>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</si>
  <si>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</si>
  <si>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</si>
  <si>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</si>
  <si>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</si>
  <si>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</si>
  <si>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</si>
  <si>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</si>
  <si>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</si>
  <si>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</si>
  <si>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</si>
  <si>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</si>
  <si>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</si>
  <si>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</si>
  <si>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</si>
  <si>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</si>
  <si>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</si>
  <si>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</si>
  <si>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</si>
  <si>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</si>
  <si>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</si>
  <si>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</si>
  <si>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</si>
  <si>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</si>
  <si>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</si>
  <si>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</si>
  <si>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</si>
  <si>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</si>
  <si>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</si>
  <si>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</si>
  <si>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</si>
  <si>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</si>
  <si>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</si>
  <si>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</si>
  <si>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</si>
  <si>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</si>
  <si>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</si>
  <si>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</si>
  <si>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</si>
  <si>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</si>
  <si>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</si>
  <si>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</si>
  <si>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</si>
  <si>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</si>
  <si>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</si>
  <si>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</si>
  <si>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</si>
  <si>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</si>
  <si>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</si>
  <si>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</si>
  <si>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</si>
  <si>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</si>
  <si>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</si>
  <si>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</si>
  <si>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</si>
  <si>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</si>
  <si>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</si>
  <si>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</si>
  <si>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</si>
  <si>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</si>
  <si>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</si>
  <si>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</si>
  <si>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</si>
  <si>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</si>
  <si>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</si>
  <si>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</si>
  <si>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</si>
  <si>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</si>
  <si>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</si>
  <si>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</si>
  <si>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</si>
  <si>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</si>
  <si>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</si>
  <si>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</si>
  <si>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</si>
  <si>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</si>
  <si>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</si>
  <si>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</si>
  <si>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</si>
  <si>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</si>
  <si>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</si>
  <si>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</si>
  <si>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</si>
  <si>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</si>
  <si>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</si>
  <si>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</si>
  <si>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</si>
  <si>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</si>
  <si>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</si>
  <si>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</si>
  <si>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</si>
  <si>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</si>
  <si>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</si>
  <si>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</si>
  <si>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</si>
  <si>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</si>
  <si>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</si>
  <si>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</si>
  <si>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</si>
  <si>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</si>
  <si>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</si>
  <si>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</si>
  <si>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</si>
  <si>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</si>
  <si>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</si>
  <si>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</si>
  <si>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</si>
  <si>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</si>
  <si>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</si>
  <si>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</si>
  <si>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</si>
  <si>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</si>
  <si>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</si>
  <si>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</si>
  <si>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</si>
  <si>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</si>
  <si>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</si>
  <si>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</si>
  <si>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</si>
  <si>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</si>
  <si>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</si>
  <si>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</si>
  <si>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</si>
  <si>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</si>
  <si>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</si>
  <si>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</si>
  <si>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</si>
  <si>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</si>
  <si>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</si>
  <si>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</si>
  <si>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</si>
  <si>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</si>
  <si>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</si>
  <si>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</si>
  <si>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</si>
  <si>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</si>
  <si>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</si>
  <si>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</si>
  <si>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</si>
  <si>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</si>
  <si>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</si>
  <si>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</si>
  <si>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</si>
  <si>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</si>
  <si>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</si>
  <si>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</si>
  <si>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</si>
  <si>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</si>
  <si>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</si>
  <si>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</si>
  <si>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</si>
  <si>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</si>
  <si>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</si>
  <si>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</si>
  <si>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</si>
  <si>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</si>
  <si>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</si>
  <si>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</si>
  <si>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</si>
  <si>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</si>
  <si>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</si>
  <si>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</si>
  <si>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</si>
  <si>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</si>
  <si>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</si>
  <si>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</si>
  <si>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</si>
  <si>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</si>
  <si>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</si>
  <si>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</si>
  <si>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</si>
  <si>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</si>
  <si>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</si>
  <si>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</si>
  <si>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</si>
  <si>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</si>
  <si>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</si>
  <si>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</si>
  <si>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</si>
  <si>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</si>
  <si>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</si>
  <si>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</si>
  <si>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</si>
  <si>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</si>
  <si>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</si>
  <si>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</si>
  <si>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</si>
  <si>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</si>
  <si>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</si>
  <si>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</si>
  <si>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</si>
  <si>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</si>
  <si>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</si>
  <si>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</si>
  <si>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</si>
  <si>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</si>
  <si>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</si>
  <si>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</si>
  <si>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</si>
  <si>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</si>
  <si>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</si>
  <si>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</si>
  <si>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</si>
  <si>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</si>
  <si>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</si>
  <si>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</si>
  <si>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</si>
  <si>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</si>
  <si>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</si>
  <si>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</si>
  <si>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</si>
  <si>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</si>
  <si>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</si>
  <si>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</si>
  <si>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</si>
  <si>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</si>
  <si>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</si>
  <si>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</si>
  <si>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</si>
  <si>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</si>
  <si>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</si>
  <si>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</si>
  <si>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</si>
  <si>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</si>
  <si>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</si>
  <si>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</si>
  <si>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</si>
  <si>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</si>
  <si>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</si>
  <si>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</si>
  <si>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</si>
  <si>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</si>
  <si>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</si>
  <si>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</si>
  <si>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</si>
  <si>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</si>
  <si>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</si>
  <si>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</si>
  <si>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</si>
  <si>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</si>
  <si>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</si>
  <si>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</si>
  <si>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</si>
  <si>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</si>
  <si>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</si>
  <si>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</si>
  <si>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</si>
  <si>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</si>
  <si>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</si>
  <si>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</si>
  <si>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</si>
  <si>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</si>
  <si>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</si>
  <si>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</si>
  <si>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</si>
  <si>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</si>
  <si>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</si>
  <si>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</si>
  <si>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</si>
  <si>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</si>
  <si>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</si>
  <si>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</si>
  <si>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</si>
  <si>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</si>
  <si>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</si>
  <si>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</si>
  <si>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</si>
  <si>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</si>
  <si>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</si>
  <si>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</si>
  <si>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</si>
  <si>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</si>
  <si>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</si>
  <si>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</si>
  <si>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</si>
  <si>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</si>
  <si>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</si>
  <si>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</si>
  <si>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</si>
  <si>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</si>
  <si>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</si>
  <si>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</si>
  <si>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</si>
  <si>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</si>
  <si>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</si>
  <si>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</si>
  <si>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</si>
  <si>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</si>
  <si>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</si>
  <si>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</si>
  <si>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</si>
  <si>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</si>
  <si>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</si>
  <si>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</si>
  <si>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</si>
  <si>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</si>
  <si>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</si>
  <si>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</si>
  <si>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</si>
  <si>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</si>
  <si>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</si>
  <si>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</si>
  <si>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</si>
  <si>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</si>
  <si>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</si>
  <si>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</si>
  <si>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</si>
  <si>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</si>
  <si>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</si>
  <si>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</si>
  <si>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</si>
  <si>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</si>
  <si>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</si>
  <si>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</si>
  <si>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</si>
  <si>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</si>
  <si>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</si>
  <si>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</si>
  <si>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</si>
  <si>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</si>
  <si>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</si>
  <si>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</si>
  <si>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</si>
  <si>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</si>
  <si>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</si>
  <si>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</si>
  <si>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</si>
  <si>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</si>
  <si>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</si>
  <si>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</si>
  <si>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</si>
  <si>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</si>
  <si>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</si>
  <si>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</si>
  <si>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</si>
  <si>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</si>
  <si>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</si>
  <si>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</si>
  <si>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</si>
  <si>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</si>
  <si>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</si>
  <si>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</si>
  <si>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</si>
  <si>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</si>
  <si>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</si>
  <si>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</si>
  <si>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</si>
  <si>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</si>
  <si>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</si>
  <si>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</si>
  <si>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</si>
  <si>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</si>
  <si>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</si>
  <si>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</si>
  <si>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</si>
  <si>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</si>
  <si>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</si>
  <si>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</si>
  <si>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</si>
  <si>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</si>
  <si>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</si>
  <si>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</si>
  <si>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</si>
  <si>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</si>
  <si>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</si>
  <si>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</si>
  <si>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</si>
  <si>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</si>
  <si>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</si>
  <si>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</si>
  <si>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</si>
  <si>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</si>
  <si>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</si>
  <si>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</si>
  <si>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</si>
  <si>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</si>
  <si>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</si>
  <si>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</si>
  <si>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</si>
  <si>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</si>
  <si>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</si>
  <si>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</si>
  <si>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</si>
  <si>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</si>
  <si>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</si>
  <si>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</si>
  <si>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</si>
  <si>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</si>
  <si>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</si>
  <si>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</si>
  <si>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</si>
  <si>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</si>
  <si>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</si>
  <si>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</si>
  <si>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</si>
  <si>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RDEDatasetTemplateSheet_test_15</t>
    <phoneticPr fontId="2"/>
  </si>
  <si>
    <t>カタログ定義/項目名抜け</t>
    <rPh sb="4" eb="6">
      <t xml:space="preserve">テイギ </t>
    </rPh>
    <rPh sb="7" eb="9">
      <t xml:space="preserve">コウモクチョウフク </t>
    </rPh>
    <rPh sb="9" eb="10">
      <t xml:space="preserve">メイ </t>
    </rPh>
    <rPh sb="10" eb="11">
      <t xml:space="preserve">ヌケ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</si>
</sst>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BIZ UD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2" fillId="3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1485</v>
      </c>
      <c r="C1" s="31" t="s">
        <v>1384</v>
      </c>
    </row>
    <row r="2" spans="1:3" ht="18">
      <c r="A2" s="2" t="s">
        <v>1385</v>
      </c>
      <c r="B2" s="16" t="s">
        <v>1485</v>
      </c>
      <c r="C2" s="31" t="s">
        <v>1384</v>
      </c>
    </row>
    <row r="3" spans="1:3" ht="18">
      <c r="A3" s="2" t="s">
        <v>1386</v>
      </c>
      <c r="B3" s="16" t="s">
        <v>1485</v>
      </c>
      <c r="C3" s="31" t="s">
        <v>1387</v>
      </c>
    </row>
    <row r="4" spans="1:3">
      <c r="A4" s="2" t="s">
        <v>1388</v>
      </c>
      <c r="B4" s="31" t="s">
        <v>1486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1464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1464</v>
      </c>
      <c r="C9" s="31"/>
    </row>
    <row r="13" spans="1:3">
      <c r="A13" t="s">
        <v>1463</v>
      </c>
    </row>
    <row r="15" spans="1:3" ht="18" thickBot="1"/>
    <row r="16" spans="1:3" ht="18" thickTop="1">
      <c r="A16" s="40" t="s">
        <v>1449</v>
      </c>
      <c r="B16" s="41"/>
    </row>
    <row r="17" spans="1:2">
      <c r="A17" s="42"/>
      <c r="B17" s="43"/>
    </row>
    <row r="18" spans="1:2">
      <c r="A18" s="42" t="s">
        <v>1450</v>
      </c>
      <c r="B18" s="43"/>
    </row>
    <row r="19" spans="1:2">
      <c r="A19" s="42" t="s">
        <v>1451</v>
      </c>
      <c r="B19" s="43"/>
    </row>
    <row r="20" spans="1:2">
      <c r="A20" s="42"/>
      <c r="B20" s="43"/>
    </row>
    <row r="21" spans="1:2">
      <c r="A21" s="42" t="s">
        <v>1452</v>
      </c>
      <c r="B21" s="43"/>
    </row>
    <row r="22" spans="1:2">
      <c r="A22" s="42" t="s">
        <v>1453</v>
      </c>
      <c r="B22" s="43"/>
    </row>
    <row r="23" spans="1:2">
      <c r="A23" s="42" t="s">
        <v>1454</v>
      </c>
      <c r="B23" s="43"/>
    </row>
    <row r="24" spans="1:2">
      <c r="A24" s="42" t="s">
        <v>1455</v>
      </c>
      <c r="B24" s="43"/>
    </row>
    <row r="25" spans="1:2">
      <c r="A25" s="42"/>
      <c r="B25" s="43"/>
    </row>
    <row r="26" spans="1:2">
      <c r="A26" s="42" t="s">
        <v>1456</v>
      </c>
      <c r="B26" s="43"/>
    </row>
    <row r="27" spans="1:2">
      <c r="A27" s="42"/>
      <c r="B27" s="43"/>
    </row>
    <row r="28" spans="1:2">
      <c r="A28" s="44"/>
      <c r="B28" s="43" t="s">
        <v>1457</v>
      </c>
    </row>
    <row r="29" spans="1:2">
      <c r="A29" s="42"/>
      <c r="B29" s="43" t="s">
        <v>1458</v>
      </c>
    </row>
    <row r="30" spans="1:2">
      <c r="A30" s="45"/>
      <c r="B30" s="43" t="s">
        <v>1459</v>
      </c>
    </row>
    <row r="31" spans="1:2">
      <c r="A31" s="46"/>
      <c r="B31" s="43" t="s">
        <v>1460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1461</v>
      </c>
      <c r="B34" s="43"/>
    </row>
    <row r="35" spans="1:2" ht="18" thickBot="1">
      <c r="A35" s="47" t="s">
        <v>1462</v>
      </c>
      <c r="B35" s="48"/>
    </row>
    <row r="36" spans="1:2" ht="18" thickTop="1"/>
  </sheetData>
  <phoneticPr fontId="2"/>
  <conditionalFormatting sqref="B1:B3">
    <cfRule type="expression" dxfId="29" priority="3">
      <formula>"ISBLANK(B3)"</formula>
    </cfRule>
  </conditionalFormatting>
  <conditionalFormatting sqref="B2:B3">
    <cfRule type="expression" dxfId="28" priority="1" stopIfTrue="1">
      <formula>ISBLANK(B2)</formula>
    </cfRule>
    <cfRule type="expression" dxfId="27" priority="4" stopIfTrue="1">
      <formula>ISBLANK(B2)</formula>
    </cfRule>
  </conditionalFormatting>
  <conditionalFormatting sqref="B1:C1">
    <cfRule type="expression" dxfId="26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1426</v>
      </c>
      <c r="E1" s="2" t="s">
        <v>1441</v>
      </c>
      <c r="F1" s="2" t="s">
        <v>1442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1446</v>
      </c>
      <c r="E2" s="3" t="s">
        <v>1447</v>
      </c>
      <c r="F2" s="3" t="s">
        <v>1448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7" t="s">
        <v>1424</v>
      </c>
      <c r="B3" s="4" t="s">
        <v>44</v>
      </c>
      <c r="C3" s="16" t="s">
        <v>1465</v>
      </c>
      <c r="D3" s="6"/>
      <c r="E3" s="6"/>
      <c r="F3" s="6"/>
      <c r="G3" s="5" t="s">
        <v>1465</v>
      </c>
      <c r="H3" s="5" t="s">
        <v>1465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1478</v>
      </c>
      <c r="O3" s="8"/>
      <c r="P3" s="8"/>
      <c r="Q3" s="8"/>
      <c r="R3" s="8"/>
      <c r="S3" s="9" t="s">
        <v>1478</v>
      </c>
    </row>
    <row r="4" spans="1:19">
      <c r="A4" s="68"/>
      <c r="B4" s="4" t="s">
        <v>44</v>
      </c>
      <c r="C4" s="16" t="s">
        <v>1466</v>
      </c>
      <c r="D4" s="6"/>
      <c r="E4" s="6"/>
      <c r="F4" s="6"/>
      <c r="G4" s="5" t="s">
        <v>1466</v>
      </c>
      <c r="H4" s="5" t="s">
        <v>1466</v>
      </c>
      <c r="I4" s="6"/>
      <c r="J4" s="7" t="s">
        <v>1472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1479</v>
      </c>
      <c r="O4" s="8"/>
      <c r="P4" s="8"/>
      <c r="Q4" s="8"/>
      <c r="R4" s="8"/>
      <c r="S4" s="49" t="s">
        <v>1482</v>
      </c>
    </row>
    <row r="5" spans="1:19">
      <c r="A5" s="68"/>
      <c r="B5" s="4" t="s">
        <v>44</v>
      </c>
      <c r="C5" s="16" t="s">
        <v>1467</v>
      </c>
      <c r="D5" s="6"/>
      <c r="E5" s="6"/>
      <c r="F5" s="6"/>
      <c r="G5" s="5" t="s">
        <v>1467</v>
      </c>
      <c r="H5" s="5" t="s">
        <v>1467</v>
      </c>
      <c r="I5" s="6"/>
      <c r="J5" s="7" t="s">
        <v>1473</v>
      </c>
      <c r="K5" s="32" t="str">
        <f t="shared" si="0"/>
        <v>integer</v>
      </c>
      <c r="L5" s="32" t="str">
        <f t="shared" si="1"/>
        <v/>
      </c>
      <c r="M5" s="8" t="s">
        <v>1476</v>
      </c>
      <c r="N5" s="8" t="s">
        <v>1480</v>
      </c>
      <c r="O5" s="8"/>
      <c r="P5" s="8"/>
      <c r="Q5" s="8"/>
      <c r="R5" s="8"/>
      <c r="S5" s="9" t="s">
        <v>1483</v>
      </c>
    </row>
    <row r="6" spans="1:19">
      <c r="A6" s="68"/>
      <c r="B6" s="4" t="s">
        <v>44</v>
      </c>
      <c r="C6" s="16" t="s">
        <v>1468</v>
      </c>
      <c r="D6" s="6"/>
      <c r="E6" s="6"/>
      <c r="F6" s="6"/>
      <c r="G6" s="5" t="s">
        <v>1468</v>
      </c>
      <c r="H6" s="5" t="s">
        <v>1468</v>
      </c>
      <c r="I6" s="6"/>
      <c r="J6" s="7" t="s">
        <v>1474</v>
      </c>
      <c r="K6" s="32" t="str">
        <f t="shared" si="0"/>
        <v>number</v>
      </c>
      <c r="L6" s="32" t="str">
        <f t="shared" si="1"/>
        <v/>
      </c>
      <c r="M6" s="8" t="s">
        <v>1477</v>
      </c>
      <c r="N6" s="8" t="s">
        <v>1481</v>
      </c>
      <c r="O6" s="8"/>
      <c r="P6" s="8"/>
      <c r="Q6" s="8"/>
      <c r="R6" s="8"/>
      <c r="S6" s="9" t="s">
        <v>1484</v>
      </c>
    </row>
    <row r="7" spans="1:19">
      <c r="A7" s="68"/>
      <c r="B7" s="4" t="s">
        <v>44</v>
      </c>
      <c r="C7" s="16" t="s">
        <v>1469</v>
      </c>
      <c r="D7" s="6"/>
      <c r="E7" s="6"/>
      <c r="F7" s="6"/>
      <c r="G7" s="5" t="s">
        <v>1470</v>
      </c>
      <c r="H7" s="5" t="s">
        <v>1471</v>
      </c>
      <c r="I7" s="6"/>
      <c r="J7" s="7" t="s">
        <v>1475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8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8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8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8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8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8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8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8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8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8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8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8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8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8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8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8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8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8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8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8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8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8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8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8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8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8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8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8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8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8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8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8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8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8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8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9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5" priority="2" operator="equal">
      <formula>"OFF"</formula>
    </cfRule>
    <cfRule type="cellIs" dxfId="24" priority="3" operator="equal">
      <formula>"ON"</formula>
    </cfRule>
  </conditionalFormatting>
  <conditionalFormatting sqref="C1:C1048576 G1:H1048576 J1:J1048576">
    <cfRule type="expression" dxfId="23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8" t="s">
        <v>9</v>
      </c>
      <c r="C1" s="59"/>
      <c r="D1" s="59"/>
      <c r="E1" s="60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4" t="str">
        <f>"https://rde.nims.go.jp/rde/dataset-templates/"&amp;説明!B3&amp;"/invoice.schema.json"</f>
        <v>https://rde.nims.go.jp/rde/dataset-templates/RDEDatasetTemplateSheet_test_15/invoice.schema.json</v>
      </c>
      <c r="C2" s="65"/>
      <c r="D2" s="65"/>
      <c r="E2" s="66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61" t="str">
        <f>説明!B4&amp;": 送状定義"</f>
        <v>カタログ定義/項目名抜け: 送状定義</v>
      </c>
      <c r="C3" s="62"/>
      <c r="D3" s="62"/>
      <c r="E3" s="63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4" t="s">
        <v>5</v>
      </c>
      <c r="B7" s="54" t="s">
        <v>33</v>
      </c>
      <c r="C7" s="4" t="s">
        <v>44</v>
      </c>
      <c r="D7" s="22"/>
      <c r="E7" s="28"/>
      <c r="F7" s="22"/>
      <c r="G7" s="22"/>
      <c r="H7" s="19"/>
      <c r="I7" s="51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54"/>
      <c r="B8" s="54"/>
      <c r="C8" s="4" t="s">
        <v>44</v>
      </c>
      <c r="D8" s="22"/>
      <c r="E8" s="28"/>
      <c r="F8" s="22"/>
      <c r="G8" s="22"/>
      <c r="H8" s="19"/>
      <c r="I8" s="52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54"/>
      <c r="B9" s="54"/>
      <c r="C9" s="4" t="s">
        <v>44</v>
      </c>
      <c r="D9" s="22"/>
      <c r="E9" s="28"/>
      <c r="F9" s="22"/>
      <c r="G9" s="22"/>
      <c r="H9" s="19"/>
      <c r="I9" s="50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4"/>
      <c r="B10" s="54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54"/>
      <c r="B11" s="54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4"/>
      <c r="B12" s="54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4"/>
      <c r="B13" s="54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4"/>
      <c r="B14" s="54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4"/>
      <c r="B15" s="54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4"/>
      <c r="B16" s="54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4"/>
      <c r="B17" s="54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5" t="s">
        <v>1379</v>
      </c>
      <c r="B18" s="54" t="s">
        <v>79</v>
      </c>
      <c r="C18" s="4" t="s">
        <v>44</v>
      </c>
      <c r="D18" s="22" t="s">
        <v>34</v>
      </c>
      <c r="E18" s="28"/>
      <c r="F18" s="22" t="s">
        <v>1427</v>
      </c>
      <c r="G18" s="22" t="s">
        <v>1428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6"/>
      <c r="B19" s="54"/>
      <c r="C19" s="4" t="s">
        <v>44</v>
      </c>
      <c r="D19" s="22" t="s">
        <v>35</v>
      </c>
      <c r="E19" s="28"/>
      <c r="F19" s="22" t="s">
        <v>1429</v>
      </c>
      <c r="G19" s="22" t="s">
        <v>1430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6"/>
      <c r="B20" s="54"/>
      <c r="C20" s="4" t="s">
        <v>44</v>
      </c>
      <c r="D20" s="22" t="s">
        <v>36</v>
      </c>
      <c r="E20" s="28"/>
      <c r="F20" s="22" t="s">
        <v>1431</v>
      </c>
      <c r="G20" s="22" t="s">
        <v>1432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6"/>
      <c r="B21" s="54"/>
      <c r="C21" s="4" t="s">
        <v>44</v>
      </c>
      <c r="D21" s="22" t="s">
        <v>37</v>
      </c>
      <c r="E21" s="28"/>
      <c r="F21" s="22" t="s">
        <v>1433</v>
      </c>
      <c r="G21" s="22" t="s">
        <v>1434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6"/>
      <c r="B22" s="54"/>
      <c r="C22" s="4" t="s">
        <v>44</v>
      </c>
      <c r="D22" s="22" t="s">
        <v>38</v>
      </c>
      <c r="E22" s="28"/>
      <c r="F22" s="22" t="s">
        <v>1435</v>
      </c>
      <c r="G22" s="22" t="s">
        <v>1436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6"/>
      <c r="B23" s="54"/>
      <c r="C23" s="4" t="s">
        <v>44</v>
      </c>
      <c r="D23" s="22" t="s">
        <v>39</v>
      </c>
      <c r="E23" s="28"/>
      <c r="F23" s="22" t="s">
        <v>1437</v>
      </c>
      <c r="G23" s="22" t="s">
        <v>1438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7"/>
      <c r="B24" s="54"/>
      <c r="C24" s="4" t="s">
        <v>44</v>
      </c>
      <c r="D24" s="22" t="s">
        <v>16</v>
      </c>
      <c r="E24" s="28"/>
      <c r="F24" s="22" t="s">
        <v>1439</v>
      </c>
      <c r="G24" s="22" t="s">
        <v>1440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5" t="s">
        <v>1380</v>
      </c>
      <c r="B25" s="54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56"/>
      <c r="B26" s="54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6"/>
      <c r="B27" s="54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6"/>
      <c r="B28" s="54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6"/>
      <c r="B29" s="54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6"/>
      <c r="B30" s="54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6"/>
      <c r="B31" s="54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6"/>
      <c r="B32" s="54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7"/>
      <c r="B33" s="54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5" t="s">
        <v>1381</v>
      </c>
      <c r="B34" s="54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56"/>
      <c r="B35" s="54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6"/>
      <c r="B36" s="54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6"/>
      <c r="B37" s="54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6"/>
      <c r="B38" s="54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6"/>
      <c r="B39" s="54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6"/>
      <c r="B40" s="54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6"/>
      <c r="B41" s="54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7"/>
      <c r="B42" s="54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2" priority="2" stopIfTrue="1">
      <formula>ISBLANK(B1)</formula>
    </cfRule>
  </conditionalFormatting>
  <conditionalFormatting sqref="C7:C42">
    <cfRule type="cellIs" dxfId="21" priority="20" operator="equal">
      <formula>"OFF"</formula>
    </cfRule>
    <cfRule type="cellIs" dxfId="20" priority="21" operator="equal">
      <formula>"ON"</formula>
    </cfRule>
  </conditionalFormatting>
  <conditionalFormatting sqref="D7:D24">
    <cfRule type="expression" dxfId="19" priority="1">
      <formula>AND($C7="ON",ISBLANK(D7))</formula>
    </cfRule>
  </conditionalFormatting>
  <conditionalFormatting sqref="F7:G24">
    <cfRule type="expression" dxfId="18" priority="3">
      <formula>AND($C7="ON",ISBLANK(F7))</formula>
    </cfRule>
  </conditionalFormatting>
  <conditionalFormatting sqref="M7:M17 E25:E42">
    <cfRule type="expression" dxfId="17" priority="18">
      <formula>AND($C7="ON",ISBLANK(E7))</formula>
    </cfRule>
  </conditionalFormatting>
  <conditionalFormatting sqref="N7:O17">
    <cfRule type="cellIs" dxfId="16" priority="17" operator="equal">
      <formula>"ON"</formula>
    </cfRule>
  </conditionalFormatting>
  <conditionalFormatting sqref="Q7:Q17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17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tabSelected="1" zoomScale="89" zoomScaleNormal="89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E13" sqref="E1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3" t="s">
        <v>9</v>
      </c>
      <c r="C1" s="73"/>
      <c r="D1" s="73"/>
      <c r="E1" s="73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4" t="str">
        <f>"https://rde.nims.go.jp/rde/dataset-templates/"&amp;説明!B3&amp;"/catalog.schema.json"</f>
        <v>https://rde.nims.go.jp/rde/dataset-templates/RDEDatasetTemplateSheet_test_15/catalog.schema.json</v>
      </c>
      <c r="C2" s="74"/>
      <c r="D2" s="74"/>
      <c r="E2" s="74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5" t="str">
        <f>説明!B4&amp;": データカタログ定義"</f>
        <v>カタログ定義/項目名抜け: データカタログ定義</v>
      </c>
      <c r="C3" s="75"/>
      <c r="D3" s="75"/>
      <c r="E3" s="75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4" t="str">
        <f>説明!B1&amp;":データカタログ定義"</f>
        <v>RDEDatasetTemplateSheet_test_15:データカタログ定義</v>
      </c>
      <c r="C4" s="74"/>
      <c r="D4" s="74"/>
      <c r="E4" s="74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4" t="str">
        <f>説明!B2&amp;":data catalog format"</f>
        <v>RDEDatasetTemplateSheet_test_15:data catalog format</v>
      </c>
      <c r="C5" s="74"/>
      <c r="D5" s="74"/>
      <c r="E5" s="74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70" t="s">
        <v>1425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1443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1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1"/>
      <c r="B11" s="4" t="s">
        <v>1402</v>
      </c>
      <c r="C11" s="53"/>
      <c r="D11" s="17" t="s">
        <v>1409</v>
      </c>
      <c r="E11" s="17" t="s">
        <v>1410</v>
      </c>
      <c r="F11" s="8" t="s">
        <v>56</v>
      </c>
      <c r="G11" s="7" t="s">
        <v>1423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1444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1"/>
      <c r="B12" s="4" t="s">
        <v>1402</v>
      </c>
      <c r="C12" s="17" t="s">
        <v>1411</v>
      </c>
      <c r="D12" s="17"/>
      <c r="E12" s="17" t="s">
        <v>1412</v>
      </c>
      <c r="F12" s="8" t="s">
        <v>56</v>
      </c>
      <c r="G12" s="7" t="s">
        <v>1423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1411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1"/>
      <c r="B13" s="4" t="s">
        <v>1402</v>
      </c>
      <c r="C13" s="17" t="s">
        <v>1413</v>
      </c>
      <c r="D13" s="17" t="s">
        <v>1414</v>
      </c>
      <c r="E13" s="17"/>
      <c r="F13" s="8" t="s">
        <v>56</v>
      </c>
      <c r="G13" s="7" t="s">
        <v>1423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1"/>
      <c r="B14" s="4" t="s">
        <v>1402</v>
      </c>
      <c r="C14" s="17" t="s">
        <v>1415</v>
      </c>
      <c r="D14" s="17" t="s">
        <v>1416</v>
      </c>
      <c r="E14" s="17" t="s">
        <v>1417</v>
      </c>
      <c r="F14" s="8" t="s">
        <v>56</v>
      </c>
      <c r="G14" s="7" t="s">
        <v>1423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1415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1"/>
      <c r="B15" s="4" t="s">
        <v>1402</v>
      </c>
      <c r="C15" s="17" t="s">
        <v>1418</v>
      </c>
      <c r="D15" s="17" t="s">
        <v>1419</v>
      </c>
      <c r="E15" s="17" t="s">
        <v>1420</v>
      </c>
      <c r="F15" s="8" t="s">
        <v>56</v>
      </c>
      <c r="G15" s="7" t="s">
        <v>1423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1418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1"/>
      <c r="B16" s="4" t="s">
        <v>1402</v>
      </c>
      <c r="C16" s="17" t="s">
        <v>1445</v>
      </c>
      <c r="D16" s="17" t="s">
        <v>1421</v>
      </c>
      <c r="E16" s="17" t="s">
        <v>1422</v>
      </c>
      <c r="F16" s="8" t="s">
        <v>56</v>
      </c>
      <c r="G16" s="7" t="s">
        <v>1423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1445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1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2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