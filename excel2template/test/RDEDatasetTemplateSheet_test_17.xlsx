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F66992C4-E6FF-204E-A249-E94F7247B9CB}" xr6:coauthVersionLast="47" xr6:coauthVersionMax="47" xr10:uidLastSave="{00000000-0000-0000-0000-000000000000}"/>
  <bookViews>
    <workbookView xWindow="39020" yWindow="600" windowWidth="31340" windowHeight="21040" activeTab="3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<sst xmlns="http://schemas.openxmlformats.org/spreadsheetml/2006/main" count="2573" uniqueCount="1488">
  <si>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</si>
  <si>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</si>
  <si>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</si>
  <si>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</si>
  <si>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</si>
  <si>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</si>
  <si>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</si>
  <si>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</si>
  <si>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</si>
  <si>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</si>
  <si>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</si>
  <si>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</si>
  <si>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</si>
  <si>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</si>
  <si>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</si>
  <si>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</si>
  <si>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</si>
  <si>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</si>
  <si>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</si>
  <si>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</si>
  <si>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</si>
  <si>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</si>
  <si>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</si>
  <si>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</si>
  <si>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</si>
  <si>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</si>
  <si>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</si>
  <si>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</si>
  <si>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</si>
  <si>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</si>
  <si>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</si>
  <si>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</si>
  <si>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</si>
  <si>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</si>
  <si>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</si>
  <si>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</si>
  <si>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</si>
  <si>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</si>
  <si>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</si>
  <si>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</si>
  <si>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</si>
  <si>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</si>
  <si>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</si>
  <si>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</si>
  <si>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</si>
  <si>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</si>
  <si>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</si>
  <si>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</si>
  <si>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</si>
  <si>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</si>
  <si>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</si>
  <si>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</si>
  <si>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</si>
  <si>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</si>
  <si>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</si>
  <si>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</si>
  <si>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</si>
  <si>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</si>
  <si>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</si>
  <si>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</si>
  <si>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</si>
  <si>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</si>
  <si>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</si>
  <si>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</si>
  <si>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</si>
  <si>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</si>
  <si>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</si>
  <si>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</si>
  <si>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</si>
  <si>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</si>
  <si>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</si>
  <si>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</si>
  <si>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</si>
  <si>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</si>
  <si>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</si>
  <si>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</si>
  <si>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</si>
  <si>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</si>
  <si>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</si>
  <si>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</si>
  <si>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</si>
  <si>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</si>
  <si>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</si>
  <si>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</si>
  <si>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</si>
  <si>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</si>
  <si>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</si>
  <si>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</si>
  <si>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</si>
  <si>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</si>
  <si>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</si>
  <si>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</si>
  <si>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</si>
  <si>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</si>
  <si>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</si>
  <si>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</si>
  <si>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</si>
  <si>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</si>
  <si>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</si>
  <si>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</si>
  <si>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</si>
  <si>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</si>
  <si>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</si>
  <si>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</si>
  <si>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</si>
  <si>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</si>
  <si>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</si>
  <si>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</si>
  <si>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</si>
  <si>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</si>
  <si>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</si>
  <si>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</si>
  <si>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</si>
  <si>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</si>
  <si>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</si>
  <si>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</si>
  <si>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</si>
  <si>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</si>
  <si>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</si>
  <si>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</si>
  <si>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</si>
  <si>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</si>
  <si>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</si>
  <si>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</si>
  <si>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</si>
  <si>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</si>
  <si>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</si>
  <si>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</si>
  <si>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</si>
  <si>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</si>
  <si>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</si>
  <si>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</si>
  <si>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</si>
  <si>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</si>
  <si>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</si>
  <si>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</si>
  <si>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</si>
  <si>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</si>
  <si>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</si>
  <si>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</si>
  <si>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</si>
  <si>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</si>
  <si>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</si>
  <si>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</si>
  <si>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</si>
  <si>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</si>
  <si>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</si>
  <si>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</si>
  <si>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</si>
  <si>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</si>
  <si>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</si>
  <si>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</si>
  <si>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</si>
  <si>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</si>
  <si>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</si>
  <si>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</si>
  <si>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</si>
  <si>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</si>
  <si>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</si>
  <si>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</si>
  <si>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</si>
  <si>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</si>
  <si>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</si>
  <si>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</si>
  <si>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</si>
  <si>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</si>
  <si>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</si>
  <si>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</si>
  <si>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</si>
  <si>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</si>
  <si>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</si>
  <si>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</si>
  <si>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</si>
  <si>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</si>
  <si>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</si>
  <si>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</si>
  <si>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</si>
  <si>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</si>
  <si>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</si>
  <si>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</si>
  <si>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</si>
  <si>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</si>
  <si>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</si>
  <si>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</si>
  <si>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</si>
  <si>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</si>
  <si>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</si>
  <si>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</si>
  <si>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</si>
  <si>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</si>
  <si>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</si>
  <si>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</si>
  <si>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</si>
  <si>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</si>
  <si>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</si>
  <si>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</si>
  <si>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</si>
  <si>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</si>
  <si>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</si>
  <si>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</si>
  <si>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</si>
  <si>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</si>
  <si>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</si>
  <si>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</si>
  <si>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</si>
  <si>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</si>
  <si>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</si>
  <si>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</si>
  <si>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</si>
  <si>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</si>
  <si>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</si>
  <si>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</si>
  <si>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</si>
  <si>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</si>
  <si>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</si>
  <si>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</si>
  <si>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</si>
  <si>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</si>
  <si>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</si>
  <si>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</si>
  <si>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</si>
  <si>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</si>
  <si>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</si>
  <si>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</si>
  <si>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</si>
  <si>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</si>
  <si>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</si>
  <si>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</si>
  <si>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</si>
  <si>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</si>
  <si>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</si>
  <si>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</si>
  <si>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</si>
  <si>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</si>
  <si>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</si>
  <si>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</si>
  <si>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</si>
  <si>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</si>
  <si>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</si>
  <si>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</si>
  <si>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</si>
  <si>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</si>
  <si>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</si>
  <si>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</si>
  <si>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</si>
  <si>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</si>
  <si>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</si>
  <si>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</si>
  <si>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</si>
  <si>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</si>
  <si>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</si>
  <si>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</si>
  <si>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</si>
  <si>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</si>
  <si>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</si>
  <si>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</si>
  <si>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</si>
  <si>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</si>
  <si>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</si>
  <si>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</si>
  <si>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</si>
  <si>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</si>
  <si>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</si>
  <si>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</si>
  <si>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</si>
  <si>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</si>
  <si>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</si>
  <si>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</si>
  <si>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</si>
  <si>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</si>
  <si>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</si>
  <si>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</si>
  <si>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</si>
  <si>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</si>
  <si>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</si>
  <si>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</si>
  <si>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</si>
  <si>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</si>
  <si>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</si>
  <si>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</si>
  <si>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</si>
  <si>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</si>
  <si>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</si>
  <si>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</si>
  <si>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</si>
  <si>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</si>
  <si>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</si>
  <si>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</si>
  <si>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</si>
  <si>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</si>
  <si>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</si>
  <si>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</si>
  <si>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</si>
  <si>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</si>
  <si>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</si>
  <si>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</si>
  <si>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</si>
  <si>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</si>
  <si>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</si>
  <si>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</si>
  <si>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</si>
  <si>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</si>
  <si>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</si>
  <si>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</si>
  <si>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</si>
  <si>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</si>
  <si>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</si>
  <si>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</si>
  <si>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</si>
  <si>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</si>
  <si>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</si>
  <si>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</si>
  <si>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</si>
  <si>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</si>
  <si>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</si>
  <si>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</si>
  <si>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</si>
  <si>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</si>
  <si>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</si>
  <si>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</si>
  <si>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</si>
  <si>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</si>
  <si>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</si>
  <si>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</si>
  <si>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</si>
  <si>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</si>
  <si>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</si>
  <si>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</si>
  <si>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</si>
  <si>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</si>
  <si>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</si>
  <si>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</si>
  <si>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</si>
  <si>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</si>
  <si>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</si>
  <si>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</si>
  <si>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</si>
  <si>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</si>
  <si>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</si>
  <si>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</si>
  <si>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</si>
  <si>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</si>
  <si>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</si>
  <si>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</si>
  <si>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</si>
  <si>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</si>
  <si>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</si>
  <si>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</si>
  <si>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</si>
  <si>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</si>
  <si>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</si>
  <si>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</si>
  <si>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</si>
  <si>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</si>
  <si>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</si>
  <si>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</si>
  <si>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</si>
  <si>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</si>
  <si>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</si>
  <si>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</si>
  <si>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</si>
  <si>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</si>
  <si>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</si>
  <si>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</si>
  <si>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</si>
  <si>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</si>
  <si>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</si>
  <si>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</si>
  <si>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</si>
  <si>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</si>
  <si>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</si>
  <si>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</si>
  <si>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</si>
  <si>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</si>
  <si>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</si>
  <si>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</si>
  <si>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</si>
  <si>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</si>
  <si>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</si>
  <si>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</si>
  <si>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</si>
  <si>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</si>
  <si>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</si>
  <si>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</si>
  <si>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</si>
  <si>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</si>
  <si>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</si>
  <si>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</si>
  <si>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</si>
  <si>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</si>
  <si>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</si>
  <si>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</si>
  <si>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</si>
  <si>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</si>
  <si>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</si>
  <si>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</si>
  <si>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</si>
  <si>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</si>
  <si>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</si>
  <si>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</si>
  <si>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</si>
  <si>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</si>
  <si>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</si>
  <si>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</si>
  <si>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</si>
  <si>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</si>
  <si>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</si>
  <si>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</si>
  <si>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</si>
  <si>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</si>
  <si>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</si>
  <si>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</si>
  <si>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</si>
  <si>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</si>
  <si>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</si>
  <si>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</si>
  <si>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</si>
  <si>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</si>
  <si>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</si>
  <si>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</si>
  <si>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</si>
  <si>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</si>
  <si>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</si>
  <si>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</si>
  <si>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</si>
  <si>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</si>
  <si>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</si>
  <si>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</si>
  <si>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</si>
  <si>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</si>
  <si>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</si>
  <si>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</si>
  <si>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</si>
  <si>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</si>
  <si>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</si>
  <si>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</si>
  <si>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</si>
  <si>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</si>
  <si>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</si>
  <si>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</si>
  <si>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</si>
  <si>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</si>
  <si>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</si>
  <si>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</si>
  <si>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</si>
  <si>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</si>
  <si>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</si>
  <si>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</si>
  <si>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</si>
  <si>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</si>
  <si>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</si>
  <si>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</si>
  <si>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</si>
  <si>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</si>
  <si>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</si>
  <si>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</si>
  <si>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</si>
  <si>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</si>
  <si>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</si>
  <si>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</si>
  <si>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</si>
  <si>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</si>
  <si>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</si>
  <si>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</si>
  <si>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</si>
  <si>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</si>
  <si>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</si>
  <si>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</si>
  <si>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</si>
  <si>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</si>
  <si>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</si>
  <si>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</si>
  <si>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</si>
  <si>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</si>
  <si>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</si>
  <si>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</si>
  <si>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</si>
  <si>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</si>
  <si>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</si>
  <si>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</si>
  <si>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</si>
  <si>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</si>
  <si>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</si>
  <si>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</si>
  <si>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</si>
  <si>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</si>
  <si>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</si>
  <si>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</si>
  <si>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</si>
  <si>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</si>
  <si>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</si>
  <si>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</si>
  <si>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</si>
  <si>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</si>
  <si>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</si>
  <si>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</si>
  <si>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</si>
  <si>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</si>
  <si>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</si>
  <si>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</si>
  <si>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</si>
  <si>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</si>
  <si>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</si>
  <si>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</si>
  <si>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</si>
  <si>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</si>
  <si>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</si>
  <si>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</si>
  <si>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</si>
  <si>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</si>
  <si>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</si>
  <si>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</si>
  <si>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</si>
  <si>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</si>
  <si>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</si>
  <si>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</si>
  <si>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</si>
  <si>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</si>
  <si>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</si>
  <si>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</si>
  <si>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</si>
  <si>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</si>
  <si>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</si>
  <si>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</si>
  <si>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</si>
  <si>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</si>
  <si>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</si>
  <si>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</si>
  <si>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</si>
  <si>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</si>
  <si>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</si>
  <si>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</si>
  <si>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</si>
  <si>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</si>
  <si>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</si>
  <si>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</si>
  <si>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</si>
  <si>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</si>
  <si>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</si>
  <si>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</si>
  <si>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</si>
  <si>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</si>
  <si>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</si>
  <si>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</si>
  <si>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</si>
  <si>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</si>
  <si>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</si>
  <si>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</si>
  <si>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</si>
  <si>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</si>
  <si>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</si>
  <si>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</si>
  <si>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</si>
  <si>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</si>
  <si>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</si>
  <si>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</si>
  <si>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</si>
  <si>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</si>
  <si>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</si>
  <si>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</si>
  <si>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</si>
  <si>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</si>
  <si>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</si>
  <si>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</si>
  <si>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</si>
  <si>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</si>
  <si>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</si>
  <si>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</si>
  <si>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</si>
  <si>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</si>
  <si>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</si>
  <si>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</si>
  <si>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</si>
  <si>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</si>
  <si>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</si>
  <si>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</si>
  <si>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</si>
  <si>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</si>
  <si>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</si>
  <si>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</si>
  <si>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</si>
  <si>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</si>
  <si>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</si>
  <si>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</si>
  <si>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</si>
  <si>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</si>
  <si>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</si>
  <si>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</si>
  <si>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</si>
  <si>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</si>
  <si>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</si>
  <si>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</si>
  <si>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</si>
  <si>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</si>
  <si>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</si>
  <si>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</si>
  <si>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</si>
  <si>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</si>
  <si>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</si>
  <si>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</si>
  <si>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</si>
  <si>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</si>
  <si>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</si>
  <si>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</si>
  <si>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</si>
  <si>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</si>
  <si>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</si>
  <si>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</si>
  <si>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</si>
  <si>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</si>
  <si>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</si>
  <si>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</si>
  <si>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</si>
  <si>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</si>
  <si>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</si>
  <si>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</si>
  <si>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</si>
  <si>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</si>
  <si>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</si>
  <si>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</si>
  <si>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</si>
  <si>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</si>
  <si>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</si>
  <si>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</si>
  <si>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</si>
  <si>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</si>
  <si>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</si>
  <si>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</si>
  <si>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</si>
  <si>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</si>
  <si>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</si>
  <si>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</si>
  <si>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</si>
  <si>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</si>
  <si>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</si>
  <si>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</si>
  <si>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</si>
  <si>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</si>
  <si>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</si>
  <si>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</si>
  <si>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</si>
  <si>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</si>
  <si>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</si>
  <si>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</si>
  <si>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</si>
  <si>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</si>
  <si>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</si>
  <si>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</si>
  <si>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</si>
  <si>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</si>
  <si>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</si>
  <si>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</si>
  <si>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</si>
  <si>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</si>
  <si>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</si>
  <si>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</si>
  <si>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</si>
  <si>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</si>
  <si>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</si>
  <si>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</si>
  <si>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</si>
  <si>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</si>
  <si>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</si>
  <si>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</si>
  <si>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</si>
  <si>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</si>
  <si>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</si>
  <si>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</si>
  <si>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</si>
  <si>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</si>
  <si>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</si>
  <si>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</si>
  <si>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</si>
  <si>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</si>
  <si>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</si>
  <si>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</si>
  <si>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</si>
  <si>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</si>
  <si>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</si>
  <si>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</si>
  <si>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</si>
  <si>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</si>
  <si>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</si>
  <si>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</si>
  <si>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</si>
  <si>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</si>
  <si>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</si>
  <si>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</si>
  <si>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</si>
  <si>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</si>
  <si>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</si>
  <si>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</si>
  <si>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</si>
  <si>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</si>
  <si>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</si>
  <si>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</si>
  <si>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</si>
  <si>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</si>
  <si>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</si>
  <si>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</si>
  <si>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</si>
  <si>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</si>
  <si>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</si>
  <si>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</si>
  <si>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</si>
  <si>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</si>
  <si>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</si>
  <si>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</si>
  <si>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</si>
  <si>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</si>
  <si>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</si>
  <si>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</si>
  <si>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</si>
  <si>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</si>
  <si>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</si>
  <si>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</si>
  <si>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</si>
  <si>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</si>
  <si>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</si>
  <si>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</si>
  <si>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</si>
  <si>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</si>
  <si>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</si>
  <si>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</si>
  <si>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</si>
  <si>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</si>
  <si>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</si>
  <si>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</si>
  <si>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</si>
  <si>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</si>
  <si>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</si>
  <si>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</si>
  <si>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</si>
  <si>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</si>
  <si>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</si>
  <si>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</si>
  <si>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</si>
  <si>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</si>
  <si>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</si>
  <si>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</si>
  <si>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</si>
  <si>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</si>
  <si>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</si>
  <si>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</si>
  <si>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</si>
  <si>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</si>
  <si>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</si>
  <si>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</si>
  <si>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</si>
  <si>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</si>
  <si>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</si>
  <si>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</si>
  <si>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</si>
  <si>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</si>
  <si>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</si>
  <si>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</si>
  <si>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</si>
  <si>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</si>
  <si>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</si>
  <si>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</si>
  <si>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</si>
  <si>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</si>
  <si>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</si>
  <si>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</si>
  <si>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</si>
  <si>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</si>
  <si>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</si>
  <si>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</si>
  <si>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</si>
  <si>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</si>
  <si>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</si>
  <si>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</si>
  <si>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</si>
  <si>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</si>
  <si>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</si>
  <si>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</si>
  <si>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</si>
  <si>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</si>
  <si>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</si>
  <si>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</si>
  <si>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</si>
  <si>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</si>
  <si>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</si>
  <si>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</si>
  <si>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</si>
  <si>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</si>
  <si>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</si>
  <si>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</si>
  <si>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</si>
  <si>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</si>
  <si>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</si>
  <si>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</si>
  <si>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</si>
  <si>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</si>
  <si>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</si>
  <si>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</si>
  <si>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</si>
  <si>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</si>
  <si>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</si>
  <si>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</si>
  <si>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</si>
  <si>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</si>
  <si>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</si>
  <si>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</si>
  <si>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</si>
  <si>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</si>
  <si>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</si>
  <si>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</si>
  <si>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</si>
  <si>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</si>
  <si>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</si>
  <si>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</si>
  <si>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</si>
  <si>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</si>
  <si>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</si>
  <si>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</si>
  <si>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</si>
  <si>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</si>
  <si>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</si>
  <si>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</si>
  <si>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</si>
  <si>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</si>
  <si>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</si>
  <si>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</si>
  <si>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</si>
  <si>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</si>
  <si>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</si>
  <si>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</si>
  <si>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</si>
  <si>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</si>
  <si>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</si>
  <si>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</si>
  <si>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</si>
  <si>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</si>
  <si>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</si>
  <si>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</si>
  <si>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</si>
  <si>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</si>
  <si>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</si>
  <si>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</si>
  <si>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</si>
  <si>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</si>
  <si>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</si>
  <si>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</si>
  <si>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</si>
  <si>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</si>
  <si>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</si>
  <si>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</si>
  <si>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</si>
  <si>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</si>
  <si>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</si>
  <si>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</si>
  <si>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</si>
  <si>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</si>
  <si>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</si>
  <si>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</si>
  <si>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</si>
  <si>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</si>
  <si>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</si>
  <si>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</si>
  <si>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</si>
  <si>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</si>
  <si>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</si>
  <si>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</si>
  <si>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</si>
  <si>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</si>
  <si>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</si>
  <si>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</si>
  <si>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</si>
  <si>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</si>
  <si>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</si>
  <si>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</si>
  <si>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</si>
  <si>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</si>
  <si>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</si>
  <si>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</si>
  <si>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</si>
  <si>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</si>
  <si>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</si>
  <si>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</si>
  <si>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</si>
  <si>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</si>
  <si>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</si>
  <si>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</si>
  <si>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</si>
  <si>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</si>
  <si>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</si>
  <si>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</si>
  <si>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</si>
  <si>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</si>
  <si>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</si>
  <si>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</si>
  <si>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</si>
  <si>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</si>
  <si>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</si>
  <si>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</si>
  <si>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</si>
  <si>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</si>
  <si>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</si>
  <si>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</si>
  <si>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</si>
  <si>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</si>
  <si>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</si>
  <si>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</si>
  <si>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</si>
  <si>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</si>
  <si>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</si>
  <si>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</si>
  <si>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</si>
  <si>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</si>
  <si>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</si>
  <si>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</si>
  <si>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</si>
  <si>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</si>
  <si>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</si>
  <si>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</si>
  <si>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</si>
  <si>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</si>
  <si>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</si>
  <si>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</si>
  <si>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</si>
  <si>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</si>
  <si>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</si>
  <si>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</si>
  <si>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</si>
  <si>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</si>
  <si>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</si>
  <si>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</si>
  <si>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</si>
  <si>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</si>
  <si>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</si>
  <si>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</si>
  <si>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</si>
  <si>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</si>
  <si>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</si>
  <si>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</si>
  <si>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</si>
  <si>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</si>
  <si>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</si>
  <si>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</si>
  <si>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</si>
  <si>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</si>
  <si>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</si>
  <si>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</si>
  <si>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</si>
  <si>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</si>
  <si>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</si>
  <si>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</si>
  <si>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</si>
  <si>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</si>
  <si>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</si>
  <si>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</si>
  <si>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</si>
  <si>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</si>
  <si>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</si>
  <si>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</si>
  <si>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</si>
  <si>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</si>
  <si>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</si>
  <si>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</si>
  <si>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</si>
  <si>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</si>
  <si>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</si>
  <si>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</si>
  <si>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</si>
  <si>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</si>
  <si>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</si>
  <si>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</si>
  <si>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</si>
  <si>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</si>
  <si>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</si>
  <si>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</si>
  <si>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</si>
  <si>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</si>
  <si>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</si>
  <si>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</si>
  <si>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</si>
  <si>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</si>
  <si>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</si>
  <si>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</si>
  <si>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</si>
  <si>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</si>
  <si>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</si>
  <si>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</si>
  <si>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</si>
  <si>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</si>
  <si>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</si>
  <si>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</si>
  <si>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</si>
  <si>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</si>
  <si>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</si>
  <si>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</si>
  <si>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</si>
  <si>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</si>
  <si>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</si>
  <si>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</si>
  <si>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</si>
  <si>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</si>
  <si>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</si>
  <si>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</si>
  <si>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</si>
  <si>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</si>
  <si>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</si>
  <si>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</si>
  <si>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</si>
  <si>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</si>
  <si>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</si>
  <si>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</si>
  <si>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</si>
  <si>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</si>
  <si>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</si>
  <si>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</si>
  <si>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</si>
  <si>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</si>
  <si>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</si>
  <si>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</si>
  <si>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</si>
  <si>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</si>
  <si>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</si>
  <si>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</si>
  <si>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</si>
  <si>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</si>
  <si>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</si>
  <si>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</si>
  <si>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</si>
  <si>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</si>
  <si>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</si>
  <si>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</si>
  <si>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</si>
  <si>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</si>
  <si>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</si>
  <si>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</si>
  <si>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</si>
  <si>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</si>
  <si>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</si>
  <si>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</si>
  <si>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</si>
  <si>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</si>
  <si>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</si>
  <si>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</si>
  <si>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</si>
  <si>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</si>
  <si>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</si>
  <si>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</si>
  <si>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</si>
  <si>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</si>
  <si>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</si>
  <si>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</si>
  <si>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</si>
  <si>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</si>
  <si>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</si>
  <si>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</si>
  <si>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</si>
  <si>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</si>
  <si>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</si>
  <si>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</si>
  <si>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</si>
  <si>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</si>
  <si>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</si>
  <si>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</si>
  <si>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</si>
  <si>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</si>
  <si>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</si>
  <si>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</si>
  <si>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</si>
  <si>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</si>
  <si>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</si>
  <si>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</si>
  <si>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</si>
  <si>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</si>
  <si>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</si>
  <si>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</si>
  <si>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</si>
  <si>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</si>
  <si>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</si>
  <si>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</si>
  <si>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</si>
  <si>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</si>
  <si>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</si>
  <si>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</si>
  <si>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</si>
  <si>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</si>
  <si>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</si>
  <si>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</si>
  <si>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</si>
  <si>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</si>
  <si>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</si>
  <si>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</si>
  <si>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</si>
  <si>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</si>
  <si>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</si>
  <si>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</si>
  <si>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</si>
  <si>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</si>
  <si>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</si>
  <si>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</si>
  <si>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</si>
  <si>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</si>
  <si>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</si>
  <si>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</si>
  <si>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</si>
  <si>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</si>
  <si>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</si>
  <si>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</si>
  <si>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</si>
  <si>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</si>
  <si>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</si>
  <si>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</si>
  <si>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</si>
  <si>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</si>
  <si>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</si>
  <si>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</si>
  <si>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</si>
  <si>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</si>
  <si>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</si>
  <si>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</si>
  <si>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</si>
  <si>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</si>
  <si>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</si>
  <si>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</si>
  <si>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</si>
  <si>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</si>
  <si>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</si>
  <si>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</si>
  <si>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</si>
  <si>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</si>
  <si>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</si>
  <si>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</si>
  <si>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</si>
  <si>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</si>
  <si>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</si>
  <si>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</si>
  <si>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</si>
  <si>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</si>
  <si>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</si>
  <si>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</si>
  <si>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</si>
  <si>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</si>
  <si>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</si>
  <si>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</si>
  <si>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</si>
  <si>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</si>
  <si>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</si>
  <si>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</si>
  <si>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</si>
  <si>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</si>
  <si>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</si>
  <si>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</si>
  <si>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</si>
  <si>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</si>
  <si>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</si>
  <si>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</si>
  <si>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</si>
  <si>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</si>
  <si>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</si>
  <si>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</si>
  <si>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</si>
  <si>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</si>
  <si>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</si>
  <si>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</si>
  <si>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</si>
  <si>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</si>
  <si>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</si>
  <si>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</si>
  <si>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</si>
  <si>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</si>
  <si>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</si>
  <si>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</si>
  <si>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</si>
  <si>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</si>
  <si>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</si>
  <si>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</si>
  <si>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</si>
  <si>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</si>
  <si>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</si>
  <si>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</si>
  <si>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</si>
  <si>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</si>
  <si>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</si>
  <si>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</si>
  <si>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</si>
  <si>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</si>
  <si>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</si>
  <si>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</si>
  <si>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</si>
  <si>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</si>
  <si>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</si>
  <si>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</si>
  <si>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</si>
  <si>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</si>
  <si>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</si>
  <si>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</si>
  <si>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</si>
  <si>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</si>
  <si>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</si>
  <si>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</si>
  <si>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</si>
  <si>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</si>
  <si>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</si>
  <si>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</si>
  <si>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</si>
  <si>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</si>
  <si>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</si>
  <si>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</si>
  <si>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</si>
  <si>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</si>
  <si>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</si>
  <si>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</si>
  <si>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</si>
  <si>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</si>
  <si>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</si>
  <si>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</si>
  <si>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</si>
  <si>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</si>
  <si>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</si>
  <si>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</si>
  <si>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</si>
  <si>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</si>
  <si>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</si>
  <si>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</si>
  <si>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</si>
  <si>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</si>
  <si>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</si>
  <si>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</si>
  <si>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</si>
  <si>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</si>
  <si>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</si>
  <si>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</si>
  <si>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</si>
  <si>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</si>
  <si>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</si>
  <si>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</si>
  <si>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</si>
  <si>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</si>
  <si>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</si>
  <si>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</si>
  <si>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</si>
  <si>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</si>
  <si>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</si>
  <si>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</si>
  <si>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</si>
  <si>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</si>
  <si>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</si>
  <si>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</si>
  <si>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</si>
  <si>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</si>
  <si>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</si>
  <si>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</si>
  <si>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</si>
  <si>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</si>
  <si>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</si>
  <si>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</si>
  <si>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</si>
  <si>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</si>
  <si>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</si>
  <si>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</si>
  <si>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</si>
  <si>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</si>
  <si>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</si>
  <si>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</si>
  <si>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</si>
  <si>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</si>
  <si>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</si>
  <si>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</si>
  <si>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</si>
  <si>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</si>
  <si>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</si>
  <si>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</si>
  <si>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</si>
  <si>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</si>
  <si>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</si>
  <si>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</si>
  <si>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</si>
  <si>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</si>
  <si>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</si>
  <si>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</si>
  <si>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</si>
  <si>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</si>
  <si>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</si>
  <si>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</si>
  <si>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</si>
  <si>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</si>
  <si>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</si>
  <si>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</si>
  <si>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</si>
  <si>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</si>
  <si>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</si>
  <si>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</si>
  <si>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</si>
  <si>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</si>
  <si>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</si>
  <si>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</si>
  <si>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</si>
  <si>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</si>
  <si>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</si>
  <si>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</si>
  <si>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</si>
  <si>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</si>
  <si>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</si>
  <si>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</si>
  <si>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</si>
  <si>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</si>
  <si>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</si>
  <si>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</si>
  <si>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</si>
  <si>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</si>
  <si>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</si>
  <si>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</si>
  <si>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</si>
  <si>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</si>
  <si>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</si>
  <si>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</si>
  <si>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</si>
  <si>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</si>
  <si>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</si>
  <si>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</si>
  <si>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</si>
  <si>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</si>
  <si>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</si>
  <si>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</si>
  <si>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</si>
  <si>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</si>
  <si>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</si>
  <si>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</si>
  <si>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</si>
  <si>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</si>
  <si>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</si>
  <si>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</si>
  <si>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</si>
  <si>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</si>
  <si>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</si>
  <si>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</si>
  <si>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</si>
  <si>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</si>
  <si>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</si>
  <si>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</si>
  <si>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</si>
  <si>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</si>
  <si>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</si>
  <si>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</si>
  <si>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</si>
  <si>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</si>
  <si>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</si>
  <si>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</si>
  <si>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</si>
  <si>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</si>
  <si>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</si>
  <si>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</si>
  <si>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</si>
  <si>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</si>
  <si>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</si>
  <si>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</si>
  <si>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</si>
  <si>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</si>
  <si>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</si>
  <si>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</si>
  <si>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</si>
  <si>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</si>
  <si>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</si>
  <si>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</si>
  <si>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</si>
  <si>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</si>
  <si>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</si>
  <si>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</si>
  <si>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</si>
  <si>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</si>
  <si>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</si>
  <si>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</si>
  <si>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</si>
  <si>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</si>
  <si>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</si>
  <si>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</si>
  <si>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</si>
  <si>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</si>
  <si>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</si>
  <si>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</si>
  <si>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</si>
  <si>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</si>
  <si>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</si>
  <si>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</si>
  <si>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</si>
  <si>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</si>
  <si>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</si>
  <si>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</si>
  <si>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</si>
  <si>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</si>
  <si>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</si>
  <si>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</si>
  <si>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</si>
  <si>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</si>
  <si>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</si>
  <si>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</si>
  <si>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</si>
  <si>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</si>
  <si>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</si>
  <si>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</si>
  <si>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</si>
  <si>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</si>
  <si>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</si>
  <si>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</si>
  <si>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</si>
  <si>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</si>
  <si>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</si>
  <si>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</si>
  <si>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</si>
  <si>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</si>
  <si>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</si>
  <si>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</si>
  <si>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</si>
  <si>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</si>
  <si>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</si>
  <si>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</si>
  <si>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</si>
  <si>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</si>
  <si>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</si>
  <si>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</si>
  <si>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</si>
  <si>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</si>
  <si>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</si>
  <si>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</si>
  <si>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</si>
  <si>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</si>
  <si>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</si>
  <si>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</si>
  <si>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</si>
  <si>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</si>
  <si>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</si>
  <si>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</si>
  <si>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</si>
  <si>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</si>
  <si>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</si>
  <si>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</si>
  <si>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</si>
  <si>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</si>
  <si>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</si>
  <si>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</si>
  <si>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</si>
  <si>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</si>
  <si>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</si>
  <si>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</si>
  <si>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</si>
  <si>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</si>
  <si>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</si>
  <si>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</si>
  <si>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</si>
  <si>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</si>
  <si>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</si>
  <si>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</si>
  <si>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</si>
  <si>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</si>
  <si>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</si>
  <si>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</si>
  <si>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</si>
  <si>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</si>
  <si>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</si>
  <si>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</si>
  <si>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</si>
  <si>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</si>
  <si>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</si>
  <si>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</si>
  <si>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</si>
  <si>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</si>
  <si>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</si>
  <si>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</si>
  <si>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</si>
  <si>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</si>
  <si>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</si>
  <si>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</si>
  <si>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</si>
  <si>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</si>
  <si>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</si>
  <si>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</si>
  <si>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</si>
  <si>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</si>
  <si>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</si>
  <si>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</si>
  <si>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</si>
  <si>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</si>
  <si>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</si>
  <si>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</si>
  <si>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</si>
  <si>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RDEDatasetTemplateSheet_test_17</t>
    <phoneticPr fontId="2"/>
  </si>
  <si>
    <t>メタデータ定義/正常系</t>
    <rPh sb="5" eb="7">
      <t xml:space="preserve">テイギ </t>
    </rPh>
    <rPh sb="8" eb="11">
      <t xml:space="preserve">セイジョウケイ </t>
    </rPh>
    <phoneticPr fontId="2"/>
  </si>
  <si>
    <t>key_string</t>
    <phoneticPr fontId="2"/>
  </si>
  <si>
    <t>key_datetime</t>
    <phoneticPr fontId="2"/>
  </si>
  <si>
    <t>key_int</t>
    <phoneticPr fontId="2"/>
  </si>
  <si>
    <t>key_number</t>
    <phoneticPr fontId="2"/>
  </si>
  <si>
    <t>key_boolean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</si>
</sst>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0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5" sqref="B5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1481</v>
      </c>
      <c r="C1" s="31" t="s">
        <v>1384</v>
      </c>
    </row>
    <row r="2" spans="1:3" ht="18">
      <c r="A2" s="2" t="s">
        <v>1385</v>
      </c>
      <c r="B2" s="16" t="s">
        <v>1481</v>
      </c>
      <c r="C2" s="31" t="s">
        <v>1384</v>
      </c>
    </row>
    <row r="3" spans="1:3" ht="18">
      <c r="A3" s="2" t="s">
        <v>1386</v>
      </c>
      <c r="B3" s="16" t="s">
        <v>1481</v>
      </c>
      <c r="C3" s="31" t="s">
        <v>1387</v>
      </c>
    </row>
    <row r="4" spans="1:3">
      <c r="A4" s="2" t="s">
        <v>1388</v>
      </c>
      <c r="B4" s="31" t="s">
        <v>1482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29" priority="3">
      <formula>"ISBLANK(B3)"</formula>
    </cfRule>
  </conditionalFormatting>
  <conditionalFormatting sqref="B2:B3">
    <cfRule type="expression" dxfId="28" priority="1" stopIfTrue="1">
      <formula>ISBLANK(B2)</formula>
    </cfRule>
    <cfRule type="expression" dxfId="27" priority="4" stopIfTrue="1">
      <formula>ISBLANK(B2)</formula>
    </cfRule>
  </conditionalFormatting>
  <conditionalFormatting sqref="B1:C1">
    <cfRule type="expression" dxfId="26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:A43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66" t="s">
        <v>1427</v>
      </c>
      <c r="B3" s="4" t="s">
        <v>1402</v>
      </c>
      <c r="C3" s="16" t="s">
        <v>1483</v>
      </c>
      <c r="D3" s="6"/>
      <c r="E3" s="6"/>
      <c r="F3" s="6"/>
      <c r="G3" s="16" t="s">
        <v>1483</v>
      </c>
      <c r="H3" s="16" t="s">
        <v>1483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1474</v>
      </c>
      <c r="O3" s="8"/>
      <c r="P3" s="8"/>
      <c r="Q3" s="8"/>
      <c r="R3" s="8"/>
      <c r="S3" s="9" t="s">
        <v>1474</v>
      </c>
    </row>
    <row r="4" spans="1:19">
      <c r="A4" s="67"/>
      <c r="B4" s="4" t="s">
        <v>1402</v>
      </c>
      <c r="C4" s="16" t="s">
        <v>1484</v>
      </c>
      <c r="D4" s="6"/>
      <c r="E4" s="6"/>
      <c r="F4" s="6"/>
      <c r="G4" s="16" t="s">
        <v>1484</v>
      </c>
      <c r="H4" s="16" t="s">
        <v>1484</v>
      </c>
      <c r="I4" s="6"/>
      <c r="J4" s="7" t="s">
        <v>1468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1475</v>
      </c>
      <c r="O4" s="8"/>
      <c r="P4" s="8"/>
      <c r="Q4" s="8"/>
      <c r="R4" s="8"/>
      <c r="S4" s="49" t="s">
        <v>1478</v>
      </c>
    </row>
    <row r="5" spans="1:19">
      <c r="A5" s="67"/>
      <c r="B5" s="4" t="s">
        <v>1402</v>
      </c>
      <c r="C5" s="16" t="s">
        <v>1485</v>
      </c>
      <c r="D5" s="6"/>
      <c r="E5" s="6"/>
      <c r="F5" s="6"/>
      <c r="G5" s="16" t="s">
        <v>1485</v>
      </c>
      <c r="H5" s="16" t="s">
        <v>1485</v>
      </c>
      <c r="I5" s="6"/>
      <c r="J5" s="7" t="s">
        <v>1469</v>
      </c>
      <c r="K5" s="32" t="str">
        <f t="shared" si="0"/>
        <v>integer</v>
      </c>
      <c r="L5" s="32" t="str">
        <f t="shared" si="1"/>
        <v/>
      </c>
      <c r="M5" s="8" t="s">
        <v>1472</v>
      </c>
      <c r="N5" s="8" t="s">
        <v>1476</v>
      </c>
      <c r="O5" s="8"/>
      <c r="P5" s="8"/>
      <c r="Q5" s="8"/>
      <c r="R5" s="8"/>
      <c r="S5" s="9" t="s">
        <v>1479</v>
      </c>
    </row>
    <row r="6" spans="1:19">
      <c r="A6" s="67"/>
      <c r="B6" s="4" t="s">
        <v>1402</v>
      </c>
      <c r="C6" s="16" t="s">
        <v>1486</v>
      </c>
      <c r="D6" s="6"/>
      <c r="E6" s="6"/>
      <c r="F6" s="6"/>
      <c r="G6" s="16" t="s">
        <v>1486</v>
      </c>
      <c r="H6" s="16" t="s">
        <v>1486</v>
      </c>
      <c r="I6" s="6"/>
      <c r="J6" s="7" t="s">
        <v>1470</v>
      </c>
      <c r="K6" s="32" t="str">
        <f t="shared" si="0"/>
        <v>number</v>
      </c>
      <c r="L6" s="32" t="str">
        <f t="shared" si="1"/>
        <v/>
      </c>
      <c r="M6" s="8" t="s">
        <v>1473</v>
      </c>
      <c r="N6" s="8" t="s">
        <v>1477</v>
      </c>
      <c r="O6" s="8"/>
      <c r="P6" s="8"/>
      <c r="Q6" s="8"/>
      <c r="R6" s="8"/>
      <c r="S6" s="9" t="s">
        <v>1480</v>
      </c>
    </row>
    <row r="7" spans="1:19">
      <c r="A7" s="67"/>
      <c r="B7" s="4" t="s">
        <v>1402</v>
      </c>
      <c r="C7" s="16" t="s">
        <v>1487</v>
      </c>
      <c r="D7" s="6"/>
      <c r="E7" s="6"/>
      <c r="F7" s="6"/>
      <c r="G7" s="16" t="s">
        <v>1487</v>
      </c>
      <c r="H7" s="16" t="s">
        <v>1487</v>
      </c>
      <c r="I7" s="6"/>
      <c r="J7" s="7" t="s">
        <v>1471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67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67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67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67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67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67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67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67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67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67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67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67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67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67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67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67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67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67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67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67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67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67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67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67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67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67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67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67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67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67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67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67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67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67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67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68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5" priority="2" operator="equal">
      <formula>"OFF"</formula>
    </cfRule>
    <cfRule type="cellIs" dxfId="24" priority="3" operator="equal">
      <formula>"ON"</formula>
    </cfRule>
  </conditionalFormatting>
  <conditionalFormatting sqref="C1:C1048576 G1:H1048576 J1:J1048576">
    <cfRule type="expression" dxfId="23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:D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3" t="s">
        <v>9</v>
      </c>
      <c r="C1" s="54"/>
      <c r="D1" s="54"/>
      <c r="E1" s="55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0" t="str">
        <f>"https://rde.nims.go.jp/rde/dataset-templates/"&amp;説明!B3&amp;"/invoice.schema.json"</f>
        <v>https://rde.nims.go.jp/rde/dataset-templates/RDEDatasetTemplateSheet_test_17/invoice.schema.json</v>
      </c>
      <c r="C2" s="61"/>
      <c r="D2" s="61"/>
      <c r="E2" s="62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56" t="str">
        <f>説明!B4&amp;": 送状定義"</f>
        <v>メタデータ定義/正常系: 送状定義</v>
      </c>
      <c r="C3" s="57"/>
      <c r="D3" s="57"/>
      <c r="E3" s="5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9" t="s">
        <v>5</v>
      </c>
      <c r="B7" s="59" t="s">
        <v>33</v>
      </c>
      <c r="C7" s="4" t="s">
        <v>44</v>
      </c>
      <c r="D7" s="22"/>
      <c r="E7" s="28"/>
      <c r="F7" s="22"/>
      <c r="G7" s="22"/>
      <c r="H7" s="19"/>
      <c r="I7" s="51"/>
      <c r="J7" s="19"/>
      <c r="K7" s="23"/>
      <c r="L7" s="8"/>
      <c r="M7" s="7" t="s">
        <v>4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/>
      </c>
      <c r="P7" s="38" t="str">
        <f>_xlfn.IFS(M7="textarea","textarea",TRUE,"")</f>
        <v/>
      </c>
      <c r="Q7" s="28"/>
      <c r="R7" s="2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59"/>
      <c r="B8" s="59"/>
      <c r="C8" s="4" t="s">
        <v>44</v>
      </c>
      <c r="D8" s="22"/>
      <c r="E8" s="28"/>
      <c r="F8" s="22"/>
      <c r="G8" s="22"/>
      <c r="H8" s="19"/>
      <c r="I8" s="52"/>
      <c r="J8" s="19"/>
      <c r="K8" s="23"/>
      <c r="L8" s="8"/>
      <c r="M8" s="7" t="s">
        <v>4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59"/>
      <c r="B9" s="59"/>
      <c r="C9" s="4" t="s">
        <v>44</v>
      </c>
      <c r="D9" s="22"/>
      <c r="E9" s="28"/>
      <c r="F9" s="22"/>
      <c r="G9" s="22"/>
      <c r="H9" s="19"/>
      <c r="I9" s="50"/>
      <c r="J9" s="19"/>
      <c r="K9" s="23"/>
      <c r="L9" s="8"/>
      <c r="M9" s="7" t="s">
        <v>4</v>
      </c>
      <c r="N9" s="38" t="str">
        <f t="shared" si="0"/>
        <v>string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9"/>
      <c r="B10" s="59"/>
      <c r="C10" s="4" t="s">
        <v>44</v>
      </c>
      <c r="D10" s="22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59"/>
      <c r="B11" s="59"/>
      <c r="C11" s="4" t="s">
        <v>44</v>
      </c>
      <c r="D11" s="22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9"/>
      <c r="B12" s="59"/>
      <c r="C12" s="4" t="s">
        <v>44</v>
      </c>
      <c r="D12" s="22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9"/>
      <c r="B13" s="59"/>
      <c r="C13" s="4" t="s">
        <v>44</v>
      </c>
      <c r="D13" s="22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9"/>
      <c r="B14" s="59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9"/>
      <c r="B15" s="59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9"/>
      <c r="B16" s="59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9"/>
      <c r="B17" s="59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63" t="s">
        <v>1379</v>
      </c>
      <c r="B18" s="59" t="s">
        <v>79</v>
      </c>
      <c r="C18" s="4" t="s">
        <v>44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64"/>
      <c r="B19" s="59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64"/>
      <c r="B20" s="59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64"/>
      <c r="B21" s="59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64"/>
      <c r="B22" s="59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64"/>
      <c r="B23" s="59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65"/>
      <c r="B24" s="59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63" t="s">
        <v>1380</v>
      </c>
      <c r="B25" s="59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64"/>
      <c r="B26" s="59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64"/>
      <c r="B27" s="59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64"/>
      <c r="B28" s="59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64"/>
      <c r="B29" s="59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64"/>
      <c r="B30" s="59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64"/>
      <c r="B31" s="59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64"/>
      <c r="B32" s="59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65"/>
      <c r="B33" s="59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63" t="s">
        <v>1381</v>
      </c>
      <c r="B34" s="59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64"/>
      <c r="B35" s="59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64"/>
      <c r="B36" s="59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64"/>
      <c r="B37" s="59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64"/>
      <c r="B38" s="59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64"/>
      <c r="B39" s="59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64"/>
      <c r="B40" s="59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64"/>
      <c r="B41" s="59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65"/>
      <c r="B42" s="59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34:B42"/>
    <mergeCell ref="B7:B17"/>
    <mergeCell ref="A18:A24"/>
    <mergeCell ref="A25:A33"/>
    <mergeCell ref="A34:A42"/>
    <mergeCell ref="B1:E1"/>
    <mergeCell ref="B3:E3"/>
    <mergeCell ref="A7:A17"/>
    <mergeCell ref="B25:B33"/>
    <mergeCell ref="B18:B24"/>
    <mergeCell ref="B2:E2"/>
  </mergeCells>
  <phoneticPr fontId="2"/>
  <conditionalFormatting sqref="B1:E1">
    <cfRule type="expression" dxfId="22" priority="2" stopIfTrue="1">
      <formula>ISBLANK(B1)</formula>
    </cfRule>
  </conditionalFormatting>
  <conditionalFormatting sqref="C7:C42">
    <cfRule type="cellIs" dxfId="21" priority="20" operator="equal">
      <formula>"OFF"</formula>
    </cfRule>
    <cfRule type="cellIs" dxfId="20" priority="21" operator="equal">
      <formula>"ON"</formula>
    </cfRule>
  </conditionalFormatting>
  <conditionalFormatting sqref="D7:D24">
    <cfRule type="expression" dxfId="19" priority="1">
      <formula>AND($C7="ON",ISBLANK(D7))</formula>
    </cfRule>
  </conditionalFormatting>
  <conditionalFormatting sqref="F7:G24">
    <cfRule type="expression" dxfId="18" priority="3">
      <formula>AND($C7="ON",ISBLANK(F7))</formula>
    </cfRule>
  </conditionalFormatting>
  <conditionalFormatting sqref="M7:M17 E25:E42">
    <cfRule type="expression" dxfId="17" priority="18">
      <formula>AND($C7="ON",ISBLANK(E7))</formula>
    </cfRule>
  </conditionalFormatting>
  <conditionalFormatting sqref="N7:O17">
    <cfRule type="cellIs" dxfId="16" priority="17" operator="equal">
      <formula>"ON"</formula>
    </cfRule>
  </conditionalFormatting>
  <conditionalFormatting sqref="Q7:Q17">
    <cfRule type="expression" dxfId="15" priority="5">
      <formula>AND($C7="ON",$M7&lt;&gt;"textarea")</formula>
    </cfRule>
    <cfRule type="expression" dxfId="14" priority="7">
      <formula>AND($C7="ON",$M7="textarea",ISBLANK($Q7))</formula>
    </cfRule>
    <cfRule type="expression" dxfId="13" priority="9">
      <formula>AND($C7="ON",$M7="textarea")</formula>
    </cfRule>
  </conditionalFormatting>
  <conditionalFormatting sqref="R7:R17">
    <cfRule type="expression" dxfId="12" priority="6">
      <formula>AND($C7="ON",$M7&lt;&gt;"list")</formula>
    </cfRule>
    <cfRule type="expression" dxfId="11" priority="8">
      <formula>AND($C7="ON",$M7="list",ISBLANK($R7))</formula>
    </cfRule>
    <cfRule type="expression" dxfId="10" priority="10">
      <formula>AND($C7="ON",$M7="list")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tabSelected="1" zoomScale="89" zoomScaleNormal="89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9" sqref="A9:A18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customWidth="1"/>
    <col min="21" max="21" width="15.5" customWidth="1"/>
    <col min="22" max="23" width="22" customWidth="1"/>
    <col min="24" max="24" width="13" customWidth="1"/>
    <col min="25" max="25" width="14.1640625" customWidth="1"/>
    <col min="26" max="26" width="11.33203125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https://rde.nims.go.jp/rde/dataset-templates/RDEDatasetTemplateSheet_test_17/catalog.schema.json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メタデータ定義/正常系: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RDEDatasetTemplateSheet_test_17:データカタログ定義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RDEDatasetTemplateSheet_test_17:data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2026-04-14T01:59:30Z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