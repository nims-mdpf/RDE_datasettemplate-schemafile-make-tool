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7227C73C-7037-B444-AB46-FD291257B600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<sst xmlns="http://schemas.openxmlformats.org/spreadsheetml/2006/main" count="2589" uniqueCount="1501">
  <si>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</si>
  <si>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</si>
  <si>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</si>
  <si>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</si>
  <si>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</si>
  <si>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</si>
  <si>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</si>
  <si>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</si>
  <si>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</si>
  <si>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</si>
  <si>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</si>
  <si>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</si>
  <si>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</si>
  <si>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</si>
  <si>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</si>
  <si>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</si>
  <si>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</si>
  <si>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</si>
  <si>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</si>
  <si>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</si>
  <si>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</si>
  <si>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</si>
  <si>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</si>
  <si>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</si>
  <si>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</si>
  <si>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</si>
  <si>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</si>
  <si>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</si>
  <si>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</si>
  <si>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</si>
  <si>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</si>
  <si>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</si>
  <si>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</si>
  <si>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</si>
  <si>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</si>
  <si>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</si>
  <si>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</si>
  <si>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</si>
  <si>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</si>
  <si>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</si>
  <si>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</si>
  <si>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</si>
  <si>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</si>
  <si>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</si>
  <si>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</si>
  <si>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</si>
  <si>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</si>
  <si>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</si>
  <si>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</si>
  <si>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</si>
  <si>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</si>
  <si>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</si>
  <si>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</si>
  <si>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</si>
  <si>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</si>
  <si>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</si>
  <si>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</si>
  <si>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</si>
  <si>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</si>
  <si>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</si>
  <si>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</si>
  <si>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</si>
  <si>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</si>
  <si>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</si>
  <si>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</si>
  <si>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</si>
  <si>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</si>
  <si>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</si>
  <si>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</si>
  <si>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</si>
  <si>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</si>
  <si>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</si>
  <si>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</si>
  <si>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</si>
  <si>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</si>
  <si>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</si>
  <si>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</si>
  <si>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</si>
  <si>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</si>
  <si>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</si>
  <si>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</si>
  <si>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</si>
  <si>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</si>
  <si>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</si>
  <si>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</si>
  <si>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</si>
  <si>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</si>
  <si>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</si>
  <si>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</si>
  <si>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</si>
  <si>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</si>
  <si>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</si>
  <si>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</si>
  <si>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</si>
  <si>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</si>
  <si>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</si>
  <si>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</si>
  <si>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</si>
  <si>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</si>
  <si>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</si>
  <si>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</si>
  <si>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</si>
  <si>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</si>
  <si>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</si>
  <si>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</si>
  <si>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</si>
  <si>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</si>
  <si>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</si>
  <si>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</si>
  <si>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</si>
  <si>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</si>
  <si>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</si>
  <si>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</si>
  <si>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</si>
  <si>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</si>
  <si>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</si>
  <si>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</si>
  <si>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</si>
  <si>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</si>
  <si>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</si>
  <si>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</si>
  <si>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</si>
  <si>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</si>
  <si>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</si>
  <si>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</si>
  <si>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</si>
  <si>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</si>
  <si>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</si>
  <si>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</si>
  <si>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</si>
  <si>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</si>
  <si>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</si>
  <si>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</si>
  <si>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</si>
  <si>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</si>
  <si>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</si>
  <si>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</si>
  <si>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</si>
  <si>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</si>
  <si>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</si>
  <si>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</si>
  <si>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</si>
  <si>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</si>
  <si>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</si>
  <si>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</si>
  <si>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</si>
  <si>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</si>
  <si>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</si>
  <si>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</si>
  <si>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</si>
  <si>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</si>
  <si>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</si>
  <si>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</si>
  <si>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</si>
  <si>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</si>
  <si>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</si>
  <si>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</si>
  <si>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</si>
  <si>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</si>
  <si>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</si>
  <si>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</si>
  <si>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</si>
  <si>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</si>
  <si>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</si>
  <si>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</si>
  <si>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</si>
  <si>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</si>
  <si>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</si>
  <si>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</si>
  <si>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</si>
  <si>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</si>
  <si>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</si>
  <si>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</si>
  <si>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</si>
  <si>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</si>
  <si>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</si>
  <si>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</si>
  <si>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</si>
  <si>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</si>
  <si>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</si>
  <si>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</si>
  <si>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</si>
  <si>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</si>
  <si>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</si>
  <si>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</si>
  <si>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</si>
  <si>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</si>
  <si>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</si>
  <si>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</si>
  <si>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</si>
  <si>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</si>
  <si>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</si>
  <si>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</si>
  <si>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</si>
  <si>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</si>
  <si>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</si>
  <si>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</si>
  <si>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</si>
  <si>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</si>
  <si>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</si>
  <si>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</si>
  <si>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</si>
  <si>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</si>
  <si>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</si>
  <si>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</si>
  <si>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</si>
  <si>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</si>
  <si>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</si>
  <si>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</si>
  <si>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</si>
  <si>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</si>
  <si>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</si>
  <si>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</si>
  <si>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</si>
  <si>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</si>
  <si>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</si>
  <si>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</si>
  <si>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</si>
  <si>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</si>
  <si>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</si>
  <si>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</si>
  <si>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</si>
  <si>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</si>
  <si>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</si>
  <si>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</si>
  <si>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</si>
  <si>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</si>
  <si>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</si>
  <si>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</si>
  <si>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</si>
  <si>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</si>
  <si>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</si>
  <si>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</si>
  <si>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</si>
  <si>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</si>
  <si>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</si>
  <si>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</si>
  <si>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</si>
  <si>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</si>
  <si>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</si>
  <si>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</si>
  <si>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</si>
  <si>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</si>
  <si>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</si>
  <si>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</si>
  <si>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</si>
  <si>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</si>
  <si>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</si>
  <si>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</si>
  <si>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</si>
  <si>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</si>
  <si>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</si>
  <si>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</si>
  <si>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</si>
  <si>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</si>
  <si>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</si>
  <si>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</si>
  <si>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</si>
  <si>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</si>
  <si>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</si>
  <si>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</si>
  <si>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</si>
  <si>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</si>
  <si>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</si>
  <si>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</si>
  <si>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</si>
  <si>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</si>
  <si>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</si>
  <si>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</si>
  <si>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</si>
  <si>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</si>
  <si>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</si>
  <si>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</si>
  <si>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</si>
  <si>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</si>
  <si>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</si>
  <si>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</si>
  <si>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</si>
  <si>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</si>
  <si>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</si>
  <si>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</si>
  <si>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</si>
  <si>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</si>
  <si>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</si>
  <si>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</si>
  <si>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</si>
  <si>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</si>
  <si>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</si>
  <si>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</si>
  <si>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</si>
  <si>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</si>
  <si>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</si>
  <si>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</si>
  <si>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</si>
  <si>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</si>
  <si>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</si>
  <si>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</si>
  <si>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</si>
  <si>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</si>
  <si>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</si>
  <si>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</si>
  <si>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</si>
  <si>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</si>
  <si>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</si>
  <si>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</si>
  <si>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</si>
  <si>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</si>
  <si>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</si>
  <si>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</si>
  <si>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</si>
  <si>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</si>
  <si>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</si>
  <si>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</si>
  <si>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</si>
  <si>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</si>
  <si>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</si>
  <si>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</si>
  <si>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</si>
  <si>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</si>
  <si>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</si>
  <si>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</si>
  <si>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</si>
  <si>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</si>
  <si>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</si>
  <si>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</si>
  <si>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</si>
  <si>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</si>
  <si>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</si>
  <si>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</si>
  <si>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</si>
  <si>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</si>
  <si>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</si>
  <si>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</si>
  <si>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</si>
  <si>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</si>
  <si>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</si>
  <si>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</si>
  <si>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</si>
  <si>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</si>
  <si>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</si>
  <si>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</si>
  <si>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</si>
  <si>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</si>
  <si>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</si>
  <si>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</si>
  <si>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</si>
  <si>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</si>
  <si>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</si>
  <si>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</si>
  <si>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</si>
  <si>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</si>
  <si>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</si>
  <si>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</si>
  <si>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</si>
  <si>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</si>
  <si>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</si>
  <si>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</si>
  <si>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</si>
  <si>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</si>
  <si>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</si>
  <si>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</si>
  <si>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</si>
  <si>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</si>
  <si>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</si>
  <si>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</si>
  <si>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</si>
  <si>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</si>
  <si>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</si>
  <si>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</si>
  <si>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</si>
  <si>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</si>
  <si>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</si>
  <si>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</si>
  <si>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</si>
  <si>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</si>
  <si>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</si>
  <si>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</si>
  <si>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</si>
  <si>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</si>
  <si>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</si>
  <si>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</si>
  <si>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</si>
  <si>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</si>
  <si>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</si>
  <si>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</si>
  <si>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</si>
  <si>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</si>
  <si>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</si>
  <si>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</si>
  <si>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</si>
  <si>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</si>
  <si>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</si>
  <si>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</si>
  <si>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</si>
  <si>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</si>
  <si>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</si>
  <si>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</si>
  <si>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</si>
  <si>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</si>
  <si>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</si>
  <si>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</si>
  <si>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</si>
  <si>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</si>
  <si>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</si>
  <si>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</si>
  <si>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</si>
  <si>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</si>
  <si>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</si>
  <si>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</si>
  <si>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</si>
  <si>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</si>
  <si>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</si>
  <si>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</si>
  <si>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</si>
  <si>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</si>
  <si>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</si>
  <si>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</si>
  <si>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</si>
  <si>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</si>
  <si>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</si>
  <si>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</si>
  <si>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</si>
  <si>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</si>
  <si>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</si>
  <si>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</si>
  <si>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</si>
  <si>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</si>
  <si>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</si>
  <si>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</si>
  <si>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</si>
  <si>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</si>
  <si>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</si>
  <si>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</si>
  <si>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</si>
  <si>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</si>
  <si>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</si>
  <si>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</si>
  <si>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</si>
  <si>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</si>
  <si>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</si>
  <si>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</si>
  <si>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</si>
  <si>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</si>
  <si>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</si>
  <si>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</si>
  <si>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</si>
  <si>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</si>
  <si>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</si>
  <si>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</si>
  <si>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</si>
  <si>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</si>
  <si>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</si>
  <si>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</si>
  <si>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</si>
  <si>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</si>
  <si>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</si>
  <si>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</si>
  <si>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</si>
  <si>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</si>
  <si>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</si>
  <si>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</si>
  <si>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</si>
  <si>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</si>
  <si>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</si>
  <si>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</si>
  <si>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</si>
  <si>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</si>
  <si>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</si>
  <si>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</si>
  <si>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</si>
  <si>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</si>
  <si>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</si>
  <si>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</si>
  <si>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</si>
  <si>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</si>
  <si>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</si>
  <si>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</si>
  <si>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</si>
  <si>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</si>
  <si>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</si>
  <si>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</si>
  <si>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</si>
  <si>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</si>
  <si>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</si>
  <si>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</si>
  <si>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</si>
  <si>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</si>
  <si>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</si>
  <si>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</si>
  <si>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</si>
  <si>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</si>
  <si>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</si>
  <si>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</si>
  <si>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</si>
  <si>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</si>
  <si>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</si>
  <si>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</si>
  <si>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</si>
  <si>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</si>
  <si>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</si>
  <si>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</si>
  <si>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</si>
  <si>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</si>
  <si>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</si>
  <si>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</si>
  <si>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</si>
  <si>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</si>
  <si>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</si>
  <si>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</si>
  <si>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</si>
  <si>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</si>
  <si>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</si>
  <si>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</si>
  <si>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</si>
  <si>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</si>
  <si>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</si>
  <si>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</si>
  <si>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</si>
  <si>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</si>
  <si>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</si>
  <si>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</si>
  <si>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</si>
  <si>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</si>
  <si>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</si>
  <si>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</si>
  <si>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</si>
  <si>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</si>
  <si>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</si>
  <si>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</si>
  <si>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</si>
  <si>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</si>
  <si>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</si>
  <si>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</si>
  <si>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</si>
  <si>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</si>
  <si>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</si>
  <si>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</si>
  <si>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</si>
  <si>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</si>
  <si>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</si>
  <si>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</si>
  <si>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</si>
  <si>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</si>
  <si>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</si>
  <si>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</si>
  <si>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</si>
  <si>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</si>
  <si>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</si>
  <si>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</si>
  <si>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</si>
  <si>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</si>
  <si>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</si>
  <si>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</si>
  <si>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</si>
  <si>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</si>
  <si>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</si>
  <si>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</si>
  <si>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</si>
  <si>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</si>
  <si>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</si>
  <si>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</si>
  <si>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</si>
  <si>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</si>
  <si>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</si>
  <si>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</si>
  <si>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</si>
  <si>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</si>
  <si>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</si>
  <si>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</si>
  <si>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</si>
  <si>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</si>
  <si>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</si>
  <si>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</si>
  <si>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</si>
  <si>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</si>
  <si>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</si>
  <si>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</si>
  <si>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</si>
  <si>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</si>
  <si>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</si>
  <si>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</si>
  <si>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</si>
  <si>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</si>
  <si>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</si>
  <si>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</si>
  <si>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</si>
  <si>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</si>
  <si>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</si>
  <si>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</si>
  <si>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</si>
  <si>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</si>
  <si>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</si>
  <si>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</si>
  <si>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</si>
  <si>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</si>
  <si>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</si>
  <si>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</si>
  <si>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</si>
  <si>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</si>
  <si>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</si>
  <si>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</si>
  <si>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</si>
  <si>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</si>
  <si>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</si>
  <si>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</si>
  <si>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</si>
  <si>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</si>
  <si>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</si>
  <si>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</si>
  <si>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</si>
  <si>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</si>
  <si>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</si>
  <si>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</si>
  <si>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</si>
  <si>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</si>
  <si>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</si>
  <si>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</si>
  <si>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</si>
  <si>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</si>
  <si>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</si>
  <si>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</si>
  <si>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</si>
  <si>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</si>
  <si>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</si>
  <si>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</si>
  <si>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</si>
  <si>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</si>
  <si>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</si>
  <si>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</si>
  <si>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</si>
  <si>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</si>
  <si>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</si>
  <si>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</si>
  <si>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</si>
  <si>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</si>
  <si>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</si>
  <si>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</si>
  <si>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</si>
  <si>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</si>
  <si>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</si>
  <si>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</si>
  <si>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</si>
  <si>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</si>
  <si>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</si>
  <si>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</si>
  <si>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</si>
  <si>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</si>
  <si>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</si>
  <si>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</si>
  <si>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</si>
  <si>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</si>
  <si>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</si>
  <si>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</si>
  <si>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</si>
  <si>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</si>
  <si>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</si>
  <si>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</si>
  <si>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</si>
  <si>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</si>
  <si>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</si>
  <si>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</si>
  <si>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</si>
  <si>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</si>
  <si>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</si>
  <si>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</si>
  <si>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</si>
  <si>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</si>
  <si>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</si>
  <si>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</si>
  <si>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</si>
  <si>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</si>
  <si>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</si>
  <si>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</si>
  <si>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</si>
  <si>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</si>
  <si>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</si>
  <si>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</si>
  <si>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</si>
  <si>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</si>
  <si>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</si>
  <si>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</si>
  <si>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</si>
  <si>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</si>
  <si>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</si>
  <si>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</si>
  <si>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</si>
  <si>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</si>
  <si>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</si>
  <si>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</si>
  <si>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</si>
  <si>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</si>
  <si>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</si>
  <si>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</si>
  <si>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</si>
  <si>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</si>
  <si>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</si>
  <si>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</si>
  <si>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</si>
  <si>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</si>
  <si>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</si>
  <si>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</si>
  <si>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</si>
  <si>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</si>
  <si>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</si>
  <si>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</si>
  <si>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</si>
  <si>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</si>
  <si>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</si>
  <si>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</si>
  <si>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</si>
  <si>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</si>
  <si>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</si>
  <si>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</si>
  <si>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</si>
  <si>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</si>
  <si>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</si>
  <si>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</si>
  <si>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</si>
  <si>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</si>
  <si>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</si>
  <si>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</si>
  <si>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</si>
  <si>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</si>
  <si>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</si>
  <si>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</si>
  <si>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</si>
  <si>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</si>
  <si>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</si>
  <si>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</si>
  <si>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</si>
  <si>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</si>
  <si>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</si>
  <si>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</si>
  <si>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</si>
  <si>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</si>
  <si>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</si>
  <si>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</si>
  <si>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</si>
  <si>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</si>
  <si>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</si>
  <si>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</si>
  <si>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</si>
  <si>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</si>
  <si>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</si>
  <si>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</si>
  <si>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</si>
  <si>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</si>
  <si>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</si>
  <si>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</si>
  <si>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</si>
  <si>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</si>
  <si>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</si>
  <si>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</si>
  <si>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</si>
  <si>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</si>
  <si>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</si>
  <si>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</si>
  <si>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</si>
  <si>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</si>
  <si>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</si>
  <si>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</si>
  <si>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</si>
  <si>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</si>
  <si>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</si>
  <si>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</si>
  <si>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</si>
  <si>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</si>
  <si>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</si>
  <si>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</si>
  <si>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</si>
  <si>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</si>
  <si>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</si>
  <si>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</si>
  <si>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</si>
  <si>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</si>
  <si>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</si>
  <si>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</si>
  <si>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</si>
  <si>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</si>
  <si>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</si>
  <si>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</si>
  <si>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</si>
  <si>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</si>
  <si>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</si>
  <si>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</si>
  <si>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</si>
  <si>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</si>
  <si>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</si>
  <si>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</si>
  <si>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</si>
  <si>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</si>
  <si>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</si>
  <si>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</si>
  <si>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</si>
  <si>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</si>
  <si>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</si>
  <si>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</si>
  <si>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</si>
  <si>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</si>
  <si>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</si>
  <si>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</si>
  <si>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</si>
  <si>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</si>
  <si>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</si>
  <si>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</si>
  <si>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</si>
  <si>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</si>
  <si>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</si>
  <si>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</si>
  <si>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</si>
  <si>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</si>
  <si>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</si>
  <si>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</si>
  <si>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</si>
  <si>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</si>
  <si>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</si>
  <si>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</si>
  <si>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</si>
  <si>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</si>
  <si>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</si>
  <si>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</si>
  <si>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</si>
  <si>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</si>
  <si>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</si>
  <si>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</si>
  <si>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</si>
  <si>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</si>
  <si>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</si>
  <si>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</si>
  <si>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</si>
  <si>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</si>
  <si>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</si>
  <si>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</si>
  <si>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</si>
  <si>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</si>
  <si>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</si>
  <si>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</si>
  <si>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</si>
  <si>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</si>
  <si>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</si>
  <si>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</si>
  <si>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</si>
  <si>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</si>
  <si>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</si>
  <si>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</si>
  <si>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</si>
  <si>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</si>
  <si>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</si>
  <si>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</si>
  <si>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</si>
  <si>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</si>
  <si>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</si>
  <si>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</si>
  <si>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</si>
  <si>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</si>
  <si>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</si>
  <si>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</si>
  <si>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</si>
  <si>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</si>
  <si>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</si>
  <si>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</si>
  <si>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</si>
  <si>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</si>
  <si>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</si>
  <si>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</si>
  <si>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</si>
  <si>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</si>
  <si>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</si>
  <si>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</si>
  <si>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</si>
  <si>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</si>
  <si>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</si>
  <si>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</si>
  <si>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</si>
  <si>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</si>
  <si>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</si>
  <si>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</si>
  <si>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</si>
  <si>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</si>
  <si>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</si>
  <si>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</si>
  <si>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</si>
  <si>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</si>
  <si>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</si>
  <si>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</si>
  <si>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</si>
  <si>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</si>
  <si>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</si>
  <si>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</si>
  <si>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</si>
  <si>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</si>
  <si>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</si>
  <si>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</si>
  <si>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</si>
  <si>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</si>
  <si>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</si>
  <si>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</si>
  <si>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</si>
  <si>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</si>
  <si>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</si>
  <si>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</si>
  <si>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</si>
  <si>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</si>
  <si>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</si>
  <si>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</si>
  <si>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</si>
  <si>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</si>
  <si>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</si>
  <si>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</si>
  <si>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</si>
  <si>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</si>
  <si>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</si>
  <si>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</si>
  <si>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</si>
  <si>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</si>
  <si>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</si>
  <si>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</si>
  <si>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</si>
  <si>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</si>
  <si>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</si>
  <si>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</si>
  <si>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</si>
  <si>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</si>
  <si>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</si>
  <si>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</si>
  <si>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</si>
  <si>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</si>
  <si>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</si>
  <si>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</si>
  <si>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</si>
  <si>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</si>
  <si>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</si>
  <si>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</si>
  <si>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</si>
  <si>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</si>
  <si>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</si>
  <si>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</si>
  <si>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</si>
  <si>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</si>
  <si>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</si>
  <si>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</si>
  <si>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</si>
  <si>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</si>
  <si>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</si>
  <si>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</si>
  <si>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</si>
  <si>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</si>
  <si>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</si>
  <si>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</si>
  <si>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</si>
  <si>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</si>
  <si>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</si>
  <si>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</si>
  <si>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</si>
  <si>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</si>
  <si>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</si>
  <si>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</si>
  <si>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</si>
  <si>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</si>
  <si>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</si>
  <si>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</si>
  <si>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</si>
  <si>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</si>
  <si>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</si>
  <si>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</si>
  <si>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</si>
  <si>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</si>
  <si>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</si>
  <si>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</si>
  <si>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</si>
  <si>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</si>
  <si>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</si>
  <si>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</si>
  <si>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</si>
  <si>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</si>
  <si>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</si>
  <si>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</si>
  <si>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</si>
  <si>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</si>
  <si>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</si>
  <si>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</si>
  <si>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</si>
  <si>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</si>
  <si>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</si>
  <si>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</si>
  <si>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</si>
  <si>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</si>
  <si>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</si>
  <si>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</si>
  <si>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</si>
  <si>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</si>
  <si>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</si>
  <si>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</si>
  <si>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</si>
  <si>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</si>
  <si>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</si>
  <si>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</si>
  <si>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</si>
  <si>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</si>
  <si>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</si>
  <si>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</si>
  <si>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</si>
  <si>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</si>
  <si>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</si>
  <si>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</si>
  <si>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</si>
  <si>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</si>
  <si>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</si>
  <si>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</si>
  <si>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</si>
  <si>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</si>
  <si>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</si>
  <si>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</si>
  <si>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</si>
  <si>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</si>
  <si>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</si>
  <si>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</si>
  <si>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</si>
  <si>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</si>
  <si>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</si>
  <si>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</si>
  <si>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</si>
  <si>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</si>
  <si>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</si>
  <si>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</si>
  <si>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</si>
  <si>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</si>
  <si>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</si>
  <si>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</si>
  <si>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</si>
  <si>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</si>
  <si>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</si>
  <si>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</si>
  <si>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</si>
  <si>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</si>
  <si>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</si>
  <si>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</si>
  <si>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</si>
  <si>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</si>
  <si>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</si>
  <si>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</si>
  <si>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</si>
  <si>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</si>
  <si>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</si>
  <si>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</si>
  <si>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</si>
  <si>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</si>
  <si>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</si>
  <si>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</si>
  <si>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</si>
  <si>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</si>
  <si>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</si>
  <si>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</si>
  <si>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</si>
  <si>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</si>
  <si>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</si>
  <si>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</si>
  <si>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</si>
  <si>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</si>
  <si>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</si>
  <si>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</si>
  <si>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</si>
  <si>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</si>
  <si>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</si>
  <si>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</si>
  <si>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</si>
  <si>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</si>
  <si>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</si>
  <si>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</si>
  <si>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</si>
  <si>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</si>
  <si>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</si>
  <si>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</si>
  <si>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</si>
  <si>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</si>
  <si>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</si>
  <si>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</si>
  <si>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</si>
  <si>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</si>
  <si>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</si>
  <si>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</si>
  <si>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</si>
  <si>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</si>
  <si>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</si>
  <si>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</si>
  <si>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</si>
  <si>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</si>
  <si>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</si>
  <si>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</si>
  <si>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</si>
  <si>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</si>
  <si>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</si>
  <si>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</si>
  <si>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</si>
  <si>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</si>
  <si>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</si>
  <si>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</si>
  <si>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</si>
  <si>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</si>
  <si>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</si>
  <si>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</si>
  <si>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</si>
  <si>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</si>
  <si>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</si>
  <si>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</si>
  <si>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</si>
  <si>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</si>
  <si>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</si>
  <si>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</si>
  <si>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</si>
  <si>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</si>
  <si>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</si>
  <si>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</si>
  <si>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</si>
  <si>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</si>
  <si>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</si>
  <si>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</si>
  <si>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</si>
  <si>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</si>
  <si>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</si>
  <si>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</si>
  <si>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</si>
  <si>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</si>
  <si>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</si>
  <si>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</si>
  <si>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</si>
  <si>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</si>
  <si>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</si>
  <si>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</si>
  <si>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</si>
  <si>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</si>
  <si>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</si>
  <si>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</si>
  <si>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</si>
  <si>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</si>
  <si>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</si>
  <si>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</si>
  <si>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</si>
  <si>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</si>
  <si>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</si>
  <si>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</si>
  <si>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</si>
  <si>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</si>
  <si>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</si>
  <si>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</si>
  <si>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</si>
  <si>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</si>
  <si>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</si>
  <si>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</si>
  <si>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</si>
  <si>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</si>
  <si>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</si>
  <si>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</si>
  <si>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</si>
  <si>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</si>
  <si>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</si>
  <si>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</si>
  <si>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</si>
  <si>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</si>
  <si>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</si>
  <si>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</si>
  <si>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</si>
  <si>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</si>
  <si>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</si>
  <si>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</si>
  <si>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</si>
  <si>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</si>
  <si>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</si>
  <si>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</si>
  <si>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</si>
  <si>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</si>
  <si>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</si>
  <si>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</si>
  <si>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</si>
  <si>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</si>
  <si>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</si>
  <si>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</si>
  <si>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</si>
  <si>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</si>
  <si>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</si>
  <si>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</si>
  <si>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</si>
  <si>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</si>
  <si>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</si>
  <si>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</si>
  <si>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</si>
  <si>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</si>
  <si>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</si>
  <si>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</si>
  <si>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</si>
  <si>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</si>
  <si>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</si>
  <si>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</si>
  <si>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</si>
  <si>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</si>
  <si>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</si>
  <si>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</si>
  <si>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</si>
  <si>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</si>
  <si>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</si>
  <si>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</si>
  <si>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</si>
  <si>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</si>
  <si>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</si>
  <si>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</si>
  <si>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</si>
  <si>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</si>
  <si>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</si>
  <si>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</si>
  <si>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</si>
  <si>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</si>
  <si>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</si>
  <si>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</si>
  <si>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</si>
  <si>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</si>
  <si>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</si>
  <si>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</si>
  <si>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</si>
  <si>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</si>
  <si>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</si>
  <si>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</si>
  <si>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</si>
  <si>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</si>
  <si>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</si>
  <si>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</si>
  <si>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</si>
  <si>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</si>
  <si>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</si>
  <si>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</si>
  <si>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</si>
  <si>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</si>
  <si>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</si>
  <si>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</si>
  <si>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</si>
  <si>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</si>
  <si>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</si>
  <si>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</si>
  <si>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</si>
  <si>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</si>
  <si>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</si>
  <si>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</si>
  <si>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</si>
  <si>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</si>
  <si>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</si>
  <si>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</si>
  <si>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</si>
  <si>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</si>
  <si>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</si>
  <si>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</si>
  <si>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</si>
  <si>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</si>
  <si>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</si>
  <si>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</si>
  <si>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</si>
  <si>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</si>
  <si>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</si>
  <si>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</si>
  <si>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</si>
  <si>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</si>
  <si>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</si>
  <si>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</si>
  <si>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</si>
  <si>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</si>
  <si>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</si>
  <si>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</si>
  <si>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</si>
  <si>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</si>
  <si>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</si>
  <si>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</si>
  <si>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</si>
  <si>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</si>
  <si>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</si>
  <si>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</si>
  <si>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</si>
  <si>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</si>
  <si>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</si>
  <si>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</si>
  <si>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</si>
  <si>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</si>
  <si>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</si>
  <si>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</si>
  <si>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</si>
  <si>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</si>
  <si>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</si>
  <si>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</si>
  <si>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</si>
  <si>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</si>
  <si>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</si>
  <si>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</si>
  <si>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</si>
  <si>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</si>
  <si>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</si>
  <si>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</si>
  <si>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</si>
  <si>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</si>
  <si>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</si>
  <si>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</si>
  <si>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</si>
  <si>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</si>
  <si>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</si>
  <si>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</si>
  <si>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</si>
  <si>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</si>
  <si>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</si>
  <si>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</si>
  <si>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</si>
  <si>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</si>
  <si>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</si>
  <si>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</si>
  <si>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</si>
  <si>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</si>
  <si>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</si>
  <si>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</si>
  <si>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</si>
  <si>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</si>
  <si>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</si>
  <si>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</si>
  <si>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</si>
  <si>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</si>
  <si>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</si>
  <si>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</si>
  <si>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</si>
  <si>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</si>
  <si>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</si>
  <si>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</si>
  <si>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</si>
  <si>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</si>
  <si>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</si>
  <si>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</si>
  <si>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</si>
  <si>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</si>
  <si>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</si>
  <si>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</si>
  <si>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</si>
  <si>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</si>
  <si>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</si>
  <si>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</si>
  <si>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</si>
  <si>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</si>
  <si>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</si>
  <si>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</si>
  <si>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</si>
  <si>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</si>
  <si>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</si>
  <si>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</si>
  <si>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</si>
  <si>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</si>
  <si>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</si>
  <si>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</si>
  <si>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</si>
  <si>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</si>
  <si>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</si>
  <si>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</si>
  <si>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</si>
  <si>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</si>
  <si>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</si>
  <si>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</si>
  <si>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</si>
  <si>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</si>
  <si>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</si>
  <si>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</si>
  <si>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</si>
  <si>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</si>
  <si>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</si>
  <si>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</si>
  <si>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</si>
  <si>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</si>
  <si>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</si>
  <si>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</si>
  <si>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</si>
  <si>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</si>
  <si>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</si>
  <si>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</si>
  <si>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</si>
  <si>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</si>
  <si>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</si>
  <si>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</si>
  <si>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</si>
  <si>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</si>
  <si>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</si>
  <si>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</si>
  <si>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</si>
  <si>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</si>
  <si>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</si>
  <si>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</si>
  <si>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</si>
  <si>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</si>
  <si>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</si>
  <si>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</si>
  <si>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</si>
  <si>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</si>
  <si>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</si>
  <si>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</si>
  <si>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</si>
  <si>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</si>
  <si>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</si>
  <si>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</si>
  <si>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</si>
  <si>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</si>
  <si>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</si>
  <si>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</si>
  <si>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</si>
  <si>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</si>
  <si>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</si>
  <si>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</si>
  <si>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</si>
  <si>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</si>
  <si>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</si>
  <si>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</si>
  <si>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</si>
  <si>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</si>
  <si>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</si>
  <si>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</si>
  <si>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</si>
  <si>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</si>
  <si>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</si>
  <si>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</si>
  <si>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</si>
  <si>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</si>
  <si>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</si>
  <si>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</si>
  <si>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</si>
  <si>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</si>
  <si>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</si>
  <si>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</si>
  <si>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</si>
  <si>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</si>
  <si>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</si>
  <si>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</si>
  <si>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</si>
  <si>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</si>
  <si>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</si>
  <si>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</si>
  <si>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</si>
  <si>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</si>
  <si>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</si>
  <si>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</si>
  <si>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</si>
  <si>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</si>
  <si>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</si>
  <si>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</si>
  <si>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</si>
  <si>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</si>
  <si>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</si>
  <si>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</si>
  <si>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</si>
  <si>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</si>
  <si>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</si>
  <si>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</si>
  <si>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</si>
  <si>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</si>
  <si>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</si>
  <si>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</si>
  <si>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</si>
  <si>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</si>
  <si>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</si>
  <si>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</si>
  <si>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</si>
  <si>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</si>
  <si>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</si>
  <si>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</si>
  <si>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</si>
  <si>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</si>
  <si>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</si>
  <si>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</si>
  <si>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</si>
  <si>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</si>
  <si>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</si>
  <si>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</si>
  <si>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</si>
  <si>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</si>
  <si>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</si>
  <si>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</si>
  <si>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</si>
  <si>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</si>
  <si>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</si>
  <si>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</si>
  <si>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</si>
  <si>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</si>
  <si>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</si>
  <si>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</si>
  <si>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</si>
  <si>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</si>
  <si>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</si>
  <si>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</si>
  <si>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</si>
  <si>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</si>
  <si>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</si>
  <si>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</si>
  <si>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</si>
  <si>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</si>
  <si>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</si>
  <si>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</si>
  <si>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</si>
  <si>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送状定義/固有情報の項目ありパラメータ名重複、試料情報なし</t>
    <rPh sb="19" eb="20">
      <t xml:space="preserve">メイ </t>
    </rPh>
    <rPh sb="20" eb="22">
      <t xml:space="preserve">チョウフク </t>
    </rPh>
    <rPh sb="23" eb="27">
      <t xml:space="preserve">シリョウジョウホウ </t>
    </rPh>
    <phoneticPr fontId="2"/>
  </si>
  <si>
    <t>RDEDatasetTemplateSheet_test_11</t>
    <phoneticPr fontId="2"/>
  </si>
  <si>
    <t>日付情報2</t>
    <rPh sb="0" eb="2">
      <t xml:space="preserve">ヒヅケ </t>
    </rPh>
    <rPh sb="2" eb="4">
      <t xml:space="preserve">ジョウホウ </t>
    </rPh>
    <phoneticPr fontId="2"/>
  </si>
  <si>
    <t>my_data2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</si>
  <si>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</si>
  <si>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</si>
  <si>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整数情報</t>
    <rPh sb="0" eb="4">
      <t xml:space="preserve">セイスウジョウホウ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</si>
</sst>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0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4" sqref="B4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1495</v>
      </c>
      <c r="C1" s="31" t="s">
        <v>1384</v>
      </c>
    </row>
    <row r="2" spans="1:3" ht="18">
      <c r="A2" s="2" t="s">
        <v>1385</v>
      </c>
      <c r="B2" s="16" t="s">
        <v>1495</v>
      </c>
      <c r="C2" s="31" t="s">
        <v>1384</v>
      </c>
    </row>
    <row r="3" spans="1:3" ht="18">
      <c r="A3" s="2" t="s">
        <v>1386</v>
      </c>
      <c r="B3" s="16" t="s">
        <v>1495</v>
      </c>
      <c r="C3" s="31" t="s">
        <v>1387</v>
      </c>
    </row>
    <row r="4" spans="1:3">
      <c r="A4" s="2" t="s">
        <v>1388</v>
      </c>
      <c r="B4" s="31" t="s">
        <v>1494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29" priority="3">
      <formula>"ISBLANK(B3)"</formula>
    </cfRule>
  </conditionalFormatting>
  <conditionalFormatting sqref="B2:B3">
    <cfRule type="expression" dxfId="28" priority="1" stopIfTrue="1">
      <formula>ISBLANK(B2)</formula>
    </cfRule>
    <cfRule type="expression" dxfId="27" priority="4" stopIfTrue="1">
      <formula>ISBLANK(B2)</formula>
    </cfRule>
  </conditionalFormatting>
  <conditionalFormatting sqref="B1:C1">
    <cfRule type="expression" dxfId="26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F8" sqref="F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5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66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66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66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66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6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6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6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6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6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6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6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6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6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6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6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6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6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6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6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6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6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6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6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6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6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6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6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6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6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6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6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6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6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6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6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6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6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6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6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7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H7" activePane="bottomRight" state="frozen"/>
      <selection pane="topRight" activeCell="E1" sqref="E1"/>
      <selection pane="bottomLeft" activeCell="A7" sqref="A7"/>
      <selection pane="bottomRight" activeCell="A7" sqref="A7:A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6" t="s">
        <v>9</v>
      </c>
      <c r="C1" s="57"/>
      <c r="D1" s="57"/>
      <c r="E1" s="5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2" t="str">
        <f>"https://rde.nims.go.jp/rde/dataset-templates/"&amp;説明!B3&amp;"/invoice.schema.json"</f>
        <v>https://rde.nims.go.jp/rde/dataset-templates/RDEDatasetTemplateSheet_test_11/invoice.schema.json</v>
      </c>
      <c r="C2" s="63"/>
      <c r="D2" s="63"/>
      <c r="E2" s="64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9" t="str">
        <f>説明!B4&amp;": 送状定義"</f>
        <v>送状定義/固有情報の項目ありパラメータ名重複、試料情報なし: 送状定義</v>
      </c>
      <c r="C3" s="60"/>
      <c r="D3" s="60"/>
      <c r="E3" s="6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3" t="s">
        <v>5</v>
      </c>
      <c r="B7" s="52" t="s">
        <v>33</v>
      </c>
      <c r="C7" s="4" t="s">
        <v>1402</v>
      </c>
      <c r="D7" s="27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1492</v>
      </c>
      <c r="V7" s="19" t="s">
        <v>1493</v>
      </c>
      <c r="W7" s="19"/>
      <c r="X7" s="19"/>
      <c r="Y7" s="19"/>
      <c r="Z7" s="19"/>
      <c r="AA7" s="19"/>
      <c r="AB7" s="19"/>
      <c r="AC7" s="19"/>
    </row>
    <row r="8" spans="1:29">
      <c r="A8" s="54"/>
      <c r="B8" s="52"/>
      <c r="C8" s="4" t="s">
        <v>1402</v>
      </c>
      <c r="D8" s="27" t="s">
        <v>1489</v>
      </c>
      <c r="E8" s="28"/>
      <c r="F8" s="22" t="s">
        <v>1496</v>
      </c>
      <c r="G8" s="22" t="s">
        <v>1497</v>
      </c>
      <c r="H8" s="19" t="s">
        <v>1496</v>
      </c>
      <c r="I8" s="51" t="s">
        <v>1491</v>
      </c>
      <c r="J8" s="19"/>
      <c r="K8" s="23"/>
      <c r="L8" s="8"/>
      <c r="M8" s="7" t="s">
        <v>1488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>date</v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4"/>
      <c r="B9" s="52"/>
      <c r="C9" s="4" t="s">
        <v>1402</v>
      </c>
      <c r="D9" s="27" t="s">
        <v>1498</v>
      </c>
      <c r="E9" s="28"/>
      <c r="F9" s="22" t="s">
        <v>1499</v>
      </c>
      <c r="G9" s="22" t="s">
        <v>1498</v>
      </c>
      <c r="H9" s="19" t="s">
        <v>1500</v>
      </c>
      <c r="I9" s="50">
        <v>1</v>
      </c>
      <c r="J9" s="19"/>
      <c r="K9" s="23"/>
      <c r="L9" s="8"/>
      <c r="M9" s="7" t="s">
        <v>1476</v>
      </c>
      <c r="N9" s="38" t="str">
        <f t="shared" si="0"/>
        <v>integer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4"/>
      <c r="B10" s="52"/>
      <c r="C10" s="4" t="s">
        <v>44</v>
      </c>
      <c r="D10" s="27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4"/>
      <c r="B11" s="52"/>
      <c r="C11" s="4" t="s">
        <v>44</v>
      </c>
      <c r="D11" s="27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4"/>
      <c r="B12" s="52"/>
      <c r="C12" s="4" t="s">
        <v>44</v>
      </c>
      <c r="D12" s="27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4"/>
      <c r="B13" s="52"/>
      <c r="C13" s="4" t="s">
        <v>44</v>
      </c>
      <c r="D13" s="27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4"/>
      <c r="B14" s="52"/>
      <c r="C14" s="4" t="s">
        <v>44</v>
      </c>
      <c r="D14" s="27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4"/>
      <c r="B15" s="52"/>
      <c r="C15" s="4" t="s">
        <v>44</v>
      </c>
      <c r="D15" s="27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4"/>
      <c r="B16" s="52"/>
      <c r="C16" s="4" t="s">
        <v>44</v>
      </c>
      <c r="D16" s="27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5"/>
      <c r="B17" s="52"/>
      <c r="C17" s="4" t="s">
        <v>44</v>
      </c>
      <c r="D17" s="27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3" t="s">
        <v>1379</v>
      </c>
      <c r="B18" s="52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4"/>
      <c r="B19" s="52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4"/>
      <c r="B20" s="52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4"/>
      <c r="B21" s="52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4"/>
      <c r="B22" s="52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4"/>
      <c r="B23" s="52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5"/>
      <c r="B24" s="52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3" t="s">
        <v>1380</v>
      </c>
      <c r="B25" s="52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4"/>
      <c r="B26" s="52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4"/>
      <c r="B27" s="52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4"/>
      <c r="B28" s="52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4"/>
      <c r="B29" s="52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4"/>
      <c r="B30" s="52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4"/>
      <c r="B31" s="52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4"/>
      <c r="B32" s="52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5"/>
      <c r="B33" s="52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3" t="s">
        <v>1381</v>
      </c>
      <c r="B34" s="52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4"/>
      <c r="B35" s="52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4"/>
      <c r="B36" s="52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4"/>
      <c r="B37" s="52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4"/>
      <c r="B38" s="52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4"/>
      <c r="B39" s="52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4"/>
      <c r="B40" s="52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4"/>
      <c r="B41" s="52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5"/>
      <c r="B42" s="52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1" stopIfTrue="1">
      <formula>ISBLANK(B1)</formula>
    </cfRule>
  </conditionalFormatting>
  <conditionalFormatting sqref="C7:C42">
    <cfRule type="cellIs" dxfId="21" priority="19" operator="equal">
      <formula>"OFF"</formula>
    </cfRule>
    <cfRule type="cellIs" dxfId="20" priority="20" operator="equal">
      <formula>"ON"</formula>
    </cfRule>
  </conditionalFormatting>
  <conditionalFormatting sqref="D18:D24">
    <cfRule type="expression" dxfId="19" priority="3">
      <formula>AND($C18="ON",ISBLANK(D18))</formula>
    </cfRule>
  </conditionalFormatting>
  <conditionalFormatting sqref="F7:G24">
    <cfRule type="expression" dxfId="18" priority="2">
      <formula>AND($C7="ON",ISBLANK(F7))</formula>
    </cfRule>
  </conditionalFormatting>
  <conditionalFormatting sqref="M7:M17 E25:E42">
    <cfRule type="expression" dxfId="17" priority="17">
      <formula>AND($C7="ON",ISBLANK(E7))</formula>
    </cfRule>
  </conditionalFormatting>
  <conditionalFormatting sqref="N7:O17">
    <cfRule type="cellIs" dxfId="16" priority="16" operator="equal">
      <formula>"ON"</formula>
    </cfRule>
  </conditionalFormatting>
  <conditionalFormatting sqref="Q7:Q1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1" t="s">
        <v>9</v>
      </c>
      <c r="C1" s="71"/>
      <c r="D1" s="71"/>
      <c r="E1" s="7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2" t="str">
        <f>"https://rde.nims.go.jp/rde/dataset-templates/"&amp;説明!B3&amp;"/catalog.schema.json"</f>
        <v>https://rde.nims.go.jp/rde/dataset-templates/RDEDatasetTemplateSheet_test_11/catalog.schema.json</v>
      </c>
      <c r="C2" s="72"/>
      <c r="D2" s="72"/>
      <c r="E2" s="72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3" t="str">
        <f>説明!B4&amp;": データカタログ定義"</f>
        <v>送状定義/固有情報の項目ありパラメータ名重複、試料情報なし: データカタログ定義</v>
      </c>
      <c r="C3" s="73"/>
      <c r="D3" s="73"/>
      <c r="E3" s="73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2" t="str">
        <f>説明!B1&amp;":データカタログ定義"</f>
        <v>RDEDatasetTemplateSheet_test_11:データカタログ定義</v>
      </c>
      <c r="C4" s="72"/>
      <c r="D4" s="72"/>
      <c r="E4" s="72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2" t="str">
        <f>説明!B2&amp;":data catalog format"</f>
        <v>RDEDatasetTemplateSheet_test_11:data catalog format</v>
      </c>
      <c r="C5" s="72"/>
      <c r="D5" s="72"/>
      <c r="E5" s="72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8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9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9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9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9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9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9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9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9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0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2026-04-13T22:53:34Z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