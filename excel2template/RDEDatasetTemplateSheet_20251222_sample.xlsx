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dag02\Documents\tosaka\wsl\gitlab\rde_template_tools\excel2template\"/>
    </mc:Choice>
  </mc:AlternateContent>
  <xr:revisionPtr revIDLastSave="0" documentId="13_ncr:1_{4A945422-89AB-491F-93B3-489DA3511D3A}" xr6:coauthVersionLast="47" xr6:coauthVersionMax="47" xr10:uidLastSave="{00000000-0000-0000-0000-000000000000}"/>
  <bookViews>
    <workbookView xWindow="29700" yWindow="405" windowWidth="20880" windowHeight="13905" firstSheet="2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<sst xmlns="http://schemas.openxmlformats.org/spreadsheetml/2006/main" count="2579" uniqueCount="1495">
  <si>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</si>
  <si>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</si>
  <si>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</si>
  <si>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</si>
  <si>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</si>
  <si>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</si>
  <si>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</si>
  <si>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</si>
  <si>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</si>
  <si>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</si>
  <si>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</si>
  <si>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</si>
  <si>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</si>
  <si>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</si>
  <si>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</si>
  <si>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</si>
  <si>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</si>
  <si>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</si>
  <si>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</si>
  <si>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</si>
  <si>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</si>
  <si>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</si>
  <si>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</si>
  <si>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</si>
  <si>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</si>
  <si>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</si>
  <si>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</si>
  <si>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</si>
  <si>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</si>
  <si>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</si>
  <si>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</si>
  <si>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</si>
  <si>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</si>
  <si>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</si>
  <si>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</si>
  <si>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</si>
  <si>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</si>
  <si>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</si>
  <si>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</si>
  <si>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</si>
  <si>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</si>
  <si>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</si>
  <si>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</si>
  <si>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</si>
  <si>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</si>
  <si>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</si>
  <si>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</si>
  <si>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</si>
  <si>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</si>
  <si>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</si>
  <si>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</si>
  <si>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</si>
  <si>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</si>
  <si>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</si>
  <si>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</si>
  <si>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</si>
  <si>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</si>
  <si>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</si>
  <si>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</si>
  <si>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</si>
  <si>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</si>
  <si>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</si>
  <si>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</si>
  <si>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</si>
  <si>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</si>
  <si>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</si>
  <si>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</si>
  <si>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</si>
  <si>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</si>
  <si>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</si>
  <si>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</si>
  <si>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</si>
  <si>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</si>
  <si>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</si>
  <si>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</si>
  <si>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</si>
  <si>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</si>
  <si>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</si>
  <si>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</si>
  <si>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</si>
  <si>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</si>
  <si>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</si>
  <si>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</si>
  <si>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</si>
  <si>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</si>
  <si>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</si>
  <si>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</si>
  <si>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</si>
  <si>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</si>
  <si>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</si>
  <si>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</si>
  <si>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</si>
  <si>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</si>
  <si>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</si>
  <si>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</si>
  <si>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</si>
  <si>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</si>
  <si>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</si>
  <si>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</si>
  <si>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</si>
  <si>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</si>
  <si>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</si>
  <si>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</si>
  <si>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</si>
  <si>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</si>
  <si>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</si>
  <si>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</si>
  <si>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</si>
  <si>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</si>
  <si>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</si>
  <si>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</si>
  <si>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</si>
  <si>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</si>
  <si>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</si>
  <si>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</si>
  <si>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</si>
  <si>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</si>
  <si>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</si>
  <si>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</si>
  <si>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</si>
  <si>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</si>
  <si>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</si>
  <si>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</si>
  <si>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</si>
  <si>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</si>
  <si>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</si>
  <si>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</si>
  <si>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</si>
  <si>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</si>
  <si>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</si>
  <si>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</si>
  <si>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</si>
  <si>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</si>
  <si>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</si>
  <si>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</si>
  <si>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</si>
  <si>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</si>
  <si>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</si>
  <si>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</si>
  <si>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</si>
  <si>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</si>
  <si>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</si>
  <si>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</si>
  <si>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</si>
  <si>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</si>
  <si>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</si>
  <si>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</si>
  <si>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</si>
  <si>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</si>
  <si>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</si>
  <si>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</si>
  <si>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</si>
  <si>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</si>
  <si>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</si>
  <si>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</si>
  <si>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</si>
  <si>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</si>
  <si>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</si>
  <si>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</si>
  <si>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</si>
  <si>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</si>
  <si>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</si>
  <si>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</si>
  <si>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</si>
  <si>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</si>
  <si>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</si>
  <si>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</si>
  <si>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</si>
  <si>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</si>
  <si>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</si>
  <si>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</si>
  <si>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</si>
  <si>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</si>
  <si>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</si>
  <si>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</si>
  <si>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</si>
  <si>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</si>
  <si>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</si>
  <si>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</si>
  <si>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</si>
  <si>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</si>
  <si>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</si>
  <si>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</si>
  <si>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</si>
  <si>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</si>
  <si>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</si>
  <si>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</si>
  <si>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</si>
  <si>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</si>
  <si>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</si>
  <si>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</si>
  <si>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</si>
  <si>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</si>
  <si>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</si>
  <si>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</si>
  <si>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</si>
  <si>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</si>
  <si>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</si>
  <si>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</si>
  <si>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</si>
  <si>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</si>
  <si>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</si>
  <si>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</si>
  <si>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</si>
  <si>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</si>
  <si>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</si>
  <si>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</si>
  <si>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</si>
  <si>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</si>
  <si>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</si>
  <si>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</si>
  <si>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</si>
  <si>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</si>
  <si>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</si>
  <si>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</si>
  <si>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</si>
  <si>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</si>
  <si>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</si>
  <si>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</si>
  <si>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</si>
  <si>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</si>
  <si>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</si>
  <si>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</si>
  <si>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</si>
  <si>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</si>
  <si>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</si>
  <si>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</si>
  <si>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</si>
  <si>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</si>
  <si>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</si>
  <si>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</si>
  <si>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</si>
  <si>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</si>
  <si>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</si>
  <si>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</si>
  <si>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</si>
  <si>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</si>
  <si>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</si>
  <si>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</si>
  <si>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</si>
  <si>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</si>
  <si>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</si>
  <si>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</si>
  <si>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</si>
  <si>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</si>
  <si>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</si>
  <si>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</si>
  <si>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</si>
  <si>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</si>
  <si>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</si>
  <si>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</si>
  <si>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</si>
  <si>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</si>
  <si>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</si>
  <si>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</si>
  <si>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</si>
  <si>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</si>
  <si>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</si>
  <si>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</si>
  <si>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</si>
  <si>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</si>
  <si>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</si>
  <si>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</si>
  <si>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</si>
  <si>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</si>
  <si>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</si>
  <si>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</si>
  <si>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</si>
  <si>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</si>
  <si>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</si>
  <si>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</si>
  <si>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</si>
  <si>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</si>
  <si>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</si>
  <si>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</si>
  <si>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</si>
  <si>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</si>
  <si>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</si>
  <si>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</si>
  <si>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</si>
  <si>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</si>
  <si>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</si>
  <si>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</si>
  <si>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</si>
  <si>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</si>
  <si>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</si>
  <si>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</si>
  <si>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</si>
  <si>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</si>
  <si>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</si>
  <si>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</si>
  <si>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</si>
  <si>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</si>
  <si>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</si>
  <si>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</si>
  <si>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</si>
  <si>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</si>
  <si>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</si>
  <si>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</si>
  <si>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</si>
  <si>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</si>
  <si>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</si>
  <si>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</si>
  <si>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</si>
  <si>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</si>
  <si>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</si>
  <si>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</si>
  <si>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</si>
  <si>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</si>
  <si>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</si>
  <si>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</si>
  <si>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</si>
  <si>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</si>
  <si>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</si>
  <si>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</si>
  <si>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</si>
  <si>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</si>
  <si>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</si>
  <si>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</si>
  <si>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</si>
  <si>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</si>
  <si>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</si>
  <si>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</si>
  <si>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</si>
  <si>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</si>
  <si>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</si>
  <si>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</si>
  <si>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</si>
  <si>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</si>
  <si>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</si>
  <si>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</si>
  <si>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</si>
  <si>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</si>
  <si>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</si>
  <si>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</si>
  <si>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</si>
  <si>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</si>
  <si>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</si>
  <si>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</si>
  <si>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</si>
  <si>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</si>
  <si>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</si>
  <si>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</si>
  <si>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</si>
  <si>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</si>
  <si>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</si>
  <si>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</si>
  <si>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</si>
  <si>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</si>
  <si>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</si>
  <si>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</si>
  <si>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</si>
  <si>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</si>
  <si>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</si>
  <si>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</si>
  <si>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</si>
  <si>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</si>
  <si>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</si>
  <si>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</si>
  <si>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</si>
  <si>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</si>
  <si>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</si>
  <si>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</si>
  <si>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</si>
  <si>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</si>
  <si>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</si>
  <si>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</si>
  <si>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</si>
  <si>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</si>
  <si>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</si>
  <si>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</si>
  <si>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</si>
  <si>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</si>
  <si>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</si>
  <si>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</si>
  <si>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</si>
  <si>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</si>
  <si>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</si>
  <si>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</si>
  <si>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</si>
  <si>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</si>
  <si>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</si>
  <si>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</si>
  <si>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</si>
  <si>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</si>
  <si>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</si>
  <si>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</si>
  <si>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</si>
  <si>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</si>
  <si>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</si>
  <si>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</si>
  <si>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</si>
  <si>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</si>
  <si>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</si>
  <si>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</si>
  <si>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</si>
  <si>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</si>
  <si>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</si>
  <si>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</si>
  <si>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</si>
  <si>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</si>
  <si>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</si>
  <si>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</si>
  <si>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</si>
  <si>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</si>
  <si>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</si>
  <si>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</si>
  <si>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</si>
  <si>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</si>
  <si>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</si>
  <si>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</si>
  <si>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</si>
  <si>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</si>
  <si>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</si>
  <si>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</si>
  <si>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</si>
  <si>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</si>
  <si>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</si>
  <si>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</si>
  <si>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</si>
  <si>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</si>
  <si>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</si>
  <si>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</si>
  <si>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</si>
  <si>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</si>
  <si>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</si>
  <si>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</si>
  <si>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</si>
  <si>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</si>
  <si>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</si>
  <si>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</si>
  <si>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</si>
  <si>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</si>
  <si>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</si>
  <si>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</si>
  <si>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</si>
  <si>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</si>
  <si>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</si>
  <si>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</si>
  <si>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</si>
  <si>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</si>
  <si>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</si>
  <si>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</si>
  <si>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</si>
  <si>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</si>
  <si>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</si>
  <si>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</si>
  <si>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</si>
  <si>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</si>
  <si>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</si>
  <si>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</si>
  <si>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</si>
  <si>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</si>
  <si>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</si>
  <si>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</si>
  <si>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</si>
  <si>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</si>
  <si>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</si>
  <si>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</si>
  <si>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</si>
  <si>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</si>
  <si>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</si>
  <si>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</si>
  <si>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</si>
  <si>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</si>
  <si>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</si>
  <si>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</si>
  <si>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</si>
  <si>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</si>
  <si>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</si>
  <si>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</si>
  <si>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</si>
  <si>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</si>
  <si>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</si>
  <si>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</si>
  <si>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</si>
  <si>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</si>
  <si>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</si>
  <si>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</si>
  <si>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</si>
  <si>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</si>
  <si>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</si>
  <si>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</si>
  <si>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</si>
  <si>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</si>
  <si>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</si>
  <si>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</si>
  <si>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</si>
  <si>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</si>
  <si>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</si>
  <si>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</si>
  <si>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</si>
  <si>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</si>
  <si>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</si>
  <si>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</si>
  <si>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</si>
  <si>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</si>
  <si>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</si>
  <si>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</si>
  <si>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</si>
  <si>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</si>
  <si>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</si>
  <si>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</si>
  <si>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</si>
  <si>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</si>
  <si>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</si>
  <si>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</si>
  <si>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</si>
  <si>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</si>
  <si>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</si>
  <si>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</si>
  <si>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</si>
  <si>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</si>
  <si>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</si>
  <si>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</si>
  <si>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</si>
  <si>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</si>
  <si>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</si>
  <si>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</si>
  <si>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</si>
  <si>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</si>
  <si>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</si>
  <si>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</si>
  <si>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</si>
  <si>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</si>
  <si>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</si>
  <si>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</si>
  <si>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</si>
  <si>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</si>
  <si>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</si>
  <si>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</si>
  <si>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</si>
  <si>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</si>
  <si>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</si>
  <si>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</si>
  <si>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</si>
  <si>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</si>
  <si>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</si>
  <si>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</si>
  <si>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</si>
  <si>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</si>
  <si>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</si>
  <si>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</si>
  <si>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</si>
  <si>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</si>
  <si>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</si>
  <si>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</si>
  <si>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</si>
  <si>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</si>
  <si>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</si>
  <si>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</si>
  <si>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</si>
  <si>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</si>
  <si>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</si>
  <si>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</si>
  <si>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</si>
  <si>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</si>
  <si>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</si>
  <si>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</si>
  <si>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</si>
  <si>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</si>
  <si>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</si>
  <si>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</si>
  <si>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</si>
  <si>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</si>
  <si>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</si>
  <si>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</si>
  <si>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</si>
  <si>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</si>
  <si>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</si>
  <si>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</si>
  <si>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</si>
  <si>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</si>
  <si>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</si>
  <si>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</si>
  <si>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</si>
  <si>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</si>
  <si>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</si>
  <si>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</si>
  <si>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</si>
  <si>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</si>
  <si>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</si>
  <si>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</si>
  <si>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</si>
  <si>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</si>
  <si>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</si>
  <si>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</si>
  <si>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</si>
  <si>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</si>
  <si>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</si>
  <si>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</si>
  <si>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</si>
  <si>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</si>
  <si>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</si>
  <si>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</si>
  <si>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</si>
  <si>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</si>
  <si>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</si>
  <si>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</si>
  <si>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</si>
  <si>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</si>
  <si>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</si>
  <si>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</si>
  <si>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</si>
  <si>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</si>
  <si>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</si>
  <si>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</si>
  <si>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</si>
  <si>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</si>
  <si>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</si>
  <si>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</si>
  <si>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</si>
  <si>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</si>
  <si>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</si>
  <si>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</si>
  <si>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</si>
  <si>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</si>
  <si>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</si>
  <si>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</si>
  <si>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</si>
  <si>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</si>
  <si>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</si>
  <si>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</si>
  <si>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</si>
  <si>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</si>
  <si>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</si>
  <si>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</si>
  <si>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</si>
  <si>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</si>
  <si>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</si>
  <si>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</si>
  <si>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</si>
  <si>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</si>
  <si>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</si>
  <si>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</si>
  <si>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</si>
  <si>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</si>
  <si>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</si>
  <si>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</si>
  <si>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</si>
  <si>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</si>
  <si>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</si>
  <si>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</si>
  <si>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</si>
  <si>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</si>
  <si>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</si>
  <si>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</si>
  <si>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</si>
  <si>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</si>
  <si>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</si>
  <si>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</si>
  <si>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</si>
  <si>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</si>
  <si>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</si>
  <si>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</si>
  <si>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</si>
  <si>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</si>
  <si>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</si>
  <si>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</si>
  <si>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</si>
  <si>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</si>
  <si>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</si>
  <si>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</si>
  <si>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</si>
  <si>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</si>
  <si>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</si>
  <si>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</si>
  <si>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</si>
  <si>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</si>
  <si>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</si>
  <si>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</si>
  <si>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</si>
  <si>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</si>
  <si>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</si>
  <si>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</si>
  <si>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</si>
  <si>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</si>
  <si>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</si>
  <si>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</si>
  <si>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</si>
  <si>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</si>
  <si>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</si>
  <si>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</si>
  <si>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</si>
  <si>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</si>
  <si>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</si>
  <si>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</si>
  <si>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</si>
  <si>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</si>
  <si>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</si>
  <si>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</si>
  <si>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</si>
  <si>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</si>
  <si>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</si>
  <si>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</si>
  <si>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</si>
  <si>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</si>
  <si>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</si>
  <si>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</si>
  <si>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</si>
  <si>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</si>
  <si>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</si>
  <si>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</si>
  <si>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</si>
  <si>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</si>
  <si>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</si>
  <si>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</si>
  <si>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</si>
  <si>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</si>
  <si>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</si>
  <si>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</si>
  <si>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</si>
  <si>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</si>
  <si>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</si>
  <si>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</si>
  <si>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</si>
  <si>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</si>
  <si>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</si>
  <si>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</si>
  <si>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</si>
  <si>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</si>
  <si>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</si>
  <si>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</si>
  <si>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</si>
  <si>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</si>
  <si>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</si>
  <si>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</si>
  <si>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</si>
  <si>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</si>
  <si>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</si>
  <si>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</si>
  <si>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</si>
  <si>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</si>
  <si>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</si>
  <si>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</si>
  <si>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</si>
  <si>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</si>
  <si>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</si>
  <si>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</si>
  <si>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</si>
  <si>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</si>
  <si>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</si>
  <si>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</si>
  <si>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</si>
  <si>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</si>
  <si>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</si>
  <si>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</si>
  <si>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</si>
  <si>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</si>
  <si>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</si>
  <si>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</si>
  <si>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</si>
  <si>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</si>
  <si>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</si>
  <si>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</si>
  <si>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</si>
  <si>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</si>
  <si>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</si>
  <si>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</si>
  <si>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</si>
  <si>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</si>
  <si>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</si>
  <si>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</si>
  <si>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</si>
  <si>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</si>
  <si>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</si>
  <si>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</si>
  <si>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</si>
  <si>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</si>
  <si>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</si>
  <si>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</si>
  <si>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</si>
  <si>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</si>
  <si>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</si>
  <si>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</si>
  <si>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</si>
  <si>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</si>
  <si>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</si>
  <si>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</si>
  <si>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</si>
  <si>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</si>
  <si>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</si>
  <si>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</si>
  <si>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</si>
  <si>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</si>
  <si>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</si>
  <si>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</si>
  <si>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</si>
  <si>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</si>
  <si>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</si>
  <si>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</si>
  <si>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</si>
  <si>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</si>
  <si>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</si>
  <si>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</si>
  <si>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</si>
  <si>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</si>
  <si>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</si>
  <si>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</si>
  <si>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</si>
  <si>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</si>
  <si>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</si>
  <si>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</si>
  <si>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</si>
  <si>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</si>
  <si>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</si>
  <si>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</si>
  <si>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</si>
  <si>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</si>
  <si>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</si>
  <si>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</si>
  <si>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</si>
  <si>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</si>
  <si>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</si>
  <si>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</si>
  <si>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</si>
  <si>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</si>
  <si>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</si>
  <si>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</si>
  <si>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</si>
  <si>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</si>
  <si>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</si>
  <si>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</si>
  <si>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</si>
  <si>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</si>
  <si>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</si>
  <si>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</si>
  <si>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</si>
  <si>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</si>
  <si>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</si>
  <si>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</si>
  <si>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</si>
  <si>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</si>
  <si>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</si>
  <si>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</si>
  <si>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</si>
  <si>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</si>
  <si>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</si>
  <si>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</si>
  <si>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</si>
  <si>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</si>
  <si>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</si>
  <si>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</si>
  <si>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</si>
  <si>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</si>
  <si>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</si>
  <si>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</si>
  <si>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</si>
  <si>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</si>
  <si>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</si>
  <si>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</si>
  <si>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</si>
  <si>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</si>
  <si>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</si>
  <si>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</si>
  <si>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</si>
  <si>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</si>
  <si>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</si>
  <si>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</si>
  <si>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</si>
  <si>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</si>
  <si>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</si>
  <si>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</si>
  <si>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</si>
  <si>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</si>
  <si>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</si>
  <si>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</si>
  <si>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</si>
  <si>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</si>
  <si>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</si>
  <si>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</si>
  <si>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</si>
  <si>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</si>
  <si>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</si>
  <si>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</si>
  <si>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</si>
  <si>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</si>
  <si>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</si>
  <si>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</si>
  <si>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</si>
  <si>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</si>
  <si>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</si>
  <si>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</si>
  <si>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</si>
  <si>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</si>
  <si>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</si>
  <si>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</si>
  <si>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</si>
  <si>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</si>
  <si>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</si>
  <si>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</si>
  <si>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</si>
  <si>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</si>
  <si>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</si>
  <si>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</si>
  <si>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</si>
  <si>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</si>
  <si>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</si>
  <si>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</si>
  <si>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</si>
  <si>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</si>
  <si>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</si>
  <si>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</si>
  <si>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</si>
  <si>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</si>
  <si>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</si>
  <si>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</si>
  <si>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</si>
  <si>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</si>
  <si>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</si>
  <si>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</si>
  <si>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</si>
  <si>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</si>
  <si>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</si>
  <si>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</si>
  <si>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</si>
  <si>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</si>
  <si>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</si>
  <si>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</si>
  <si>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</si>
  <si>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</si>
  <si>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</si>
  <si>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</si>
  <si>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</si>
  <si>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</si>
  <si>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</si>
  <si>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</si>
  <si>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</si>
  <si>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</si>
  <si>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</si>
  <si>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</si>
  <si>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</si>
  <si>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</si>
  <si>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</si>
  <si>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</si>
  <si>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</si>
  <si>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</si>
  <si>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</si>
  <si>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</si>
  <si>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</si>
  <si>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</si>
  <si>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</si>
  <si>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</si>
  <si>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</si>
  <si>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</si>
  <si>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</si>
  <si>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</si>
  <si>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</si>
  <si>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</si>
  <si>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</si>
  <si>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</si>
  <si>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</si>
  <si>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</si>
  <si>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</si>
  <si>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</si>
  <si>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</si>
  <si>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</si>
  <si>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</si>
  <si>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</si>
  <si>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</si>
  <si>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</si>
  <si>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</si>
  <si>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</si>
  <si>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</si>
  <si>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</si>
  <si>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</si>
  <si>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</si>
  <si>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</si>
  <si>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</si>
  <si>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</si>
  <si>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</si>
  <si>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</si>
  <si>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</si>
  <si>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</si>
  <si>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</si>
  <si>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</si>
  <si>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</si>
  <si>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</si>
  <si>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</si>
  <si>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</si>
  <si>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</si>
  <si>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</si>
  <si>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</si>
  <si>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</si>
  <si>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</si>
  <si>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</si>
  <si>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</si>
  <si>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</si>
  <si>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</si>
  <si>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</si>
  <si>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</si>
  <si>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</si>
  <si>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</si>
  <si>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</si>
  <si>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</si>
  <si>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</si>
  <si>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</si>
  <si>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</si>
  <si>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</si>
  <si>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</si>
  <si>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</si>
  <si>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</si>
  <si>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</si>
  <si>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</si>
  <si>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</si>
  <si>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</si>
  <si>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</si>
  <si>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</si>
  <si>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</si>
  <si>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</si>
  <si>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</si>
  <si>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</si>
  <si>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</si>
  <si>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</si>
  <si>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</si>
  <si>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</si>
  <si>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</si>
  <si>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</si>
  <si>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</si>
  <si>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</si>
  <si>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</si>
  <si>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</si>
  <si>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</si>
  <si>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</si>
  <si>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</si>
  <si>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</si>
  <si>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</si>
  <si>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</si>
  <si>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</si>
  <si>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</si>
  <si>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</si>
  <si>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</si>
  <si>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</si>
  <si>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</si>
  <si>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</si>
  <si>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</si>
  <si>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</si>
  <si>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</si>
  <si>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</si>
  <si>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</si>
  <si>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</si>
  <si>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</si>
  <si>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</si>
  <si>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</si>
  <si>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</si>
  <si>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</si>
  <si>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</si>
  <si>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</si>
  <si>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</si>
  <si>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</si>
  <si>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</si>
  <si>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</si>
  <si>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</si>
  <si>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</si>
  <si>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</si>
  <si>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</si>
  <si>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</si>
  <si>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</si>
  <si>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</si>
  <si>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</si>
  <si>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</si>
  <si>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</si>
  <si>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</si>
  <si>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</si>
  <si>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</si>
  <si>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</si>
  <si>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</si>
  <si>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</si>
  <si>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</si>
  <si>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</si>
  <si>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</si>
  <si>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</si>
  <si>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</si>
  <si>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</si>
  <si>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</si>
  <si>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</si>
  <si>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</si>
  <si>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</si>
  <si>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</si>
  <si>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</si>
  <si>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</si>
  <si>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</si>
  <si>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</si>
  <si>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</si>
  <si>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</si>
  <si>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</si>
  <si>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</si>
  <si>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</si>
  <si>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</si>
  <si>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</si>
  <si>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</si>
  <si>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</si>
  <si>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</si>
  <si>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</si>
  <si>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</si>
  <si>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</si>
  <si>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</si>
  <si>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</si>
  <si>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</si>
  <si>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</si>
  <si>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</si>
  <si>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</si>
  <si>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</si>
  <si>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</si>
  <si>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</si>
  <si>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</si>
  <si>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</si>
  <si>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</si>
  <si>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</si>
  <si>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</si>
  <si>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</si>
  <si>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</si>
  <si>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</si>
  <si>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</si>
  <si>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</si>
  <si>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</si>
  <si>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</si>
  <si>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</si>
  <si>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</si>
  <si>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</si>
  <si>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</si>
  <si>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</si>
  <si>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</si>
  <si>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</si>
  <si>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</si>
  <si>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</si>
  <si>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</si>
  <si>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</si>
  <si>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</si>
  <si>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</si>
  <si>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</si>
  <si>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</si>
  <si>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</si>
  <si>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</si>
  <si>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</si>
  <si>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</si>
  <si>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</si>
  <si>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</si>
  <si>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</si>
  <si>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</si>
  <si>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</si>
  <si>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</si>
  <si>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</si>
  <si>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</si>
  <si>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</si>
  <si>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</si>
  <si>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</si>
  <si>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</si>
  <si>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</si>
  <si>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</si>
  <si>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</si>
  <si>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</si>
  <si>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</si>
  <si>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</si>
  <si>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</si>
  <si>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</si>
  <si>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</si>
  <si>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</si>
  <si>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</si>
  <si>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</si>
  <si>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</si>
  <si>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</si>
  <si>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</si>
  <si>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</si>
  <si>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</si>
  <si>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</si>
  <si>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</si>
  <si>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</si>
  <si>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</si>
  <si>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</si>
  <si>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</si>
  <si>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</si>
  <si>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</si>
  <si>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</si>
  <si>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</si>
  <si>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</si>
  <si>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</si>
  <si>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</si>
  <si>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</si>
  <si>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</si>
  <si>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</si>
  <si>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</si>
  <si>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</si>
  <si>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</si>
  <si>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</si>
  <si>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</si>
  <si>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</si>
  <si>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</si>
  <si>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</si>
  <si>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</si>
  <si>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</si>
  <si>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</si>
  <si>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</si>
  <si>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</si>
  <si>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</si>
  <si>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</si>
  <si>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</si>
  <si>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</si>
  <si>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</si>
  <si>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</si>
  <si>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</si>
  <si>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</si>
  <si>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</si>
  <si>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</si>
  <si>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</si>
  <si>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</si>
  <si>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</si>
  <si>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</si>
  <si>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</si>
  <si>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</si>
  <si>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</si>
  <si>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</si>
  <si>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</si>
  <si>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</si>
  <si>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</si>
  <si>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</si>
  <si>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</si>
  <si>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</si>
  <si>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</si>
  <si>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</si>
  <si>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</si>
  <si>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</si>
  <si>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</si>
  <si>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</si>
  <si>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</si>
  <si>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</si>
  <si>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</si>
  <si>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</si>
  <si>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</si>
  <si>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</si>
  <si>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</si>
  <si>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</si>
  <si>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</si>
  <si>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</si>
  <si>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</si>
  <si>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</si>
  <si>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</si>
  <si>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</si>
  <si>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</si>
  <si>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</si>
  <si>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</si>
  <si>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</si>
  <si>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</si>
  <si>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</si>
  <si>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</si>
  <si>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</si>
  <si>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</si>
  <si>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</si>
  <si>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</si>
  <si>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</si>
  <si>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</si>
  <si>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</si>
  <si>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</si>
  <si>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</si>
  <si>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</si>
  <si>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</si>
  <si>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</si>
  <si>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</si>
  <si>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</si>
  <si>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</si>
  <si>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</si>
  <si>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</si>
  <si>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</si>
  <si>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</si>
  <si>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</si>
  <si>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</si>
  <si>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</si>
  <si>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</si>
  <si>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</si>
  <si>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</si>
  <si>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</si>
  <si>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</si>
  <si>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</si>
  <si>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</si>
  <si>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</si>
  <si>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</si>
  <si>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</si>
  <si>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</si>
  <si>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</si>
  <si>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</si>
  <si>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</si>
  <si>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</si>
  <si>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</si>
  <si>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</si>
  <si>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</si>
  <si>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</si>
  <si>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</si>
  <si>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</si>
  <si>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</si>
  <si>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</si>
  <si>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</si>
  <si>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</si>
  <si>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</si>
  <si>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</si>
  <si>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</si>
  <si>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</si>
  <si>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</si>
  <si>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</si>
  <si>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</si>
  <si>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</si>
  <si>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</si>
  <si>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</si>
  <si>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</si>
  <si>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</si>
  <si>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</si>
  <si>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</si>
  <si>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</si>
  <si>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</si>
  <si>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</si>
  <si>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</si>
  <si>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</si>
  <si>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</si>
  <si>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</si>
  <si>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</si>
  <si>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</si>
  <si>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</si>
  <si>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</si>
  <si>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</si>
  <si>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</si>
  <si>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</si>
  <si>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</si>
  <si>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</si>
  <si>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</si>
  <si>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</si>
  <si>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</si>
  <si>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</si>
  <si>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</si>
  <si>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</si>
  <si>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</si>
  <si>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</si>
  <si>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</si>
  <si>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</si>
  <si>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</si>
  <si>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</si>
  <si>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</si>
  <si>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</si>
  <si>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</si>
  <si>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</si>
  <si>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</si>
  <si>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</si>
  <si>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</si>
  <si>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</si>
  <si>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</si>
  <si>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</si>
  <si>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</si>
  <si>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</si>
  <si>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</si>
  <si>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</si>
  <si>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</si>
  <si>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</si>
  <si>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</si>
  <si>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</si>
  <si>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</si>
  <si>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</si>
  <si>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</si>
  <si>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</si>
  <si>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</si>
  <si>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</si>
  <si>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</si>
  <si>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</si>
  <si>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</si>
  <si>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</si>
  <si>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</si>
  <si>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</si>
  <si>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</si>
  <si>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</si>
  <si>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</si>
  <si>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</si>
  <si>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</si>
  <si>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</si>
  <si>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</si>
  <si>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</si>
  <si>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</si>
  <si>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</si>
  <si>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</si>
  <si>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</si>
  <si>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</si>
  <si>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</si>
  <si>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</si>
  <si>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</si>
  <si>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</si>
  <si>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</si>
  <si>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</si>
  <si>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</si>
  <si>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</si>
  <si>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</si>
  <si>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</si>
  <si>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</si>
  <si>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</si>
  <si>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</si>
  <si>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</si>
  <si>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</si>
  <si>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</si>
  <si>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</si>
  <si>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</si>
  <si>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</si>
  <si>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</si>
  <si>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</si>
  <si>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</si>
  <si>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</si>
  <si>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</si>
  <si>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</si>
  <si>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</si>
  <si>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</si>
  <si>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</si>
  <si>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</si>
  <si>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</si>
  <si>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</si>
  <si>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</si>
  <si>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</si>
  <si>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</si>
  <si>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</si>
  <si>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</si>
  <si>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</si>
  <si>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</si>
  <si>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</si>
  <si>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</si>
  <si>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</si>
  <si>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</si>
  <si>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</si>
  <si>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</si>
  <si>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</si>
  <si>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</si>
  <si>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</si>
  <si>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</si>
  <si>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</si>
  <si>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</si>
  <si>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</si>
  <si>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</si>
  <si>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</si>
  <si>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</si>
  <si>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</si>
  <si>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</si>
  <si>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</si>
  <si>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</si>
  <si>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</si>
  <si>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</si>
  <si>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</si>
  <si>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</si>
  <si>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</si>
  <si>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</si>
  <si>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</si>
  <si>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</si>
  <si>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</si>
  <si>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</si>
  <si>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</si>
  <si>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</si>
  <si>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</si>
  <si>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</si>
  <si>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</si>
  <si>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</si>
  <si>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</si>
  <si>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</si>
  <si>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</si>
  <si>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</si>
  <si>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</si>
  <si>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</si>
  <si>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</si>
  <si>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</si>
  <si>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</si>
  <si>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</si>
  <si>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</si>
  <si>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</si>
  <si>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</si>
  <si>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</si>
  <si>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</si>
  <si>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</si>
  <si>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RDEDatasetTemplateSheet_rde_template_tools_sample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</si>
  <si>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</si>
  <si>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</si>
  <si>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</si>
  <si>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</si>
  <si>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</si>
  <si>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</si>
  <si>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</si>
  <si>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</si>
  <si>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</si>
  <si>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</si>
  <si>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</si>
  <si>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</si>
  <si>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</si>
  <si>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</si>
  <si>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</si>
  <si>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</si>
  <si>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</si>
  <si>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</si>
  <si>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</si>
  <si>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</si>
  <si>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</si>
  <si>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rde_template_tools用サンプル</t>
    <rPh sb="18" eb="19">
      <t xml:space="preserve">ヨウ </t>
    </rPh>
    <phoneticPr fontId="2"/>
  </si>
  <si>
    <t>measurement_date</t>
    <phoneticPr fontId="2"/>
  </si>
  <si>
    <t>測定日</t>
    <rPh sb="0" eb="3">
      <t xml:space="preserve">ソクテイビ </t>
    </rPh>
    <phoneticPr fontId="2"/>
  </si>
  <si>
    <t>date</t>
  </si>
  <si>
    <t>測定日</t>
    <rPh sb="0" eb="2">
      <t xml:space="preserve">ソクテイ </t>
    </rPh>
    <phoneticPr fontId="2"/>
  </si>
  <si>
    <t>2026-01-07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</si>
</sst>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9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3" sqref="B3"/>
    </sheetView>
  </sheetViews>
  <sheetFormatPr defaultColWidth="8.875" defaultRowHeight="18.75"/>
  <cols>
    <col min="1" max="1" width="31.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1467</v>
      </c>
      <c r="C1" s="31" t="s">
        <v>1384</v>
      </c>
    </row>
    <row r="2" spans="1:3">
      <c r="A2" s="2" t="s">
        <v>1385</v>
      </c>
      <c r="B2" s="16" t="s">
        <v>1467</v>
      </c>
      <c r="C2" s="31" t="s">
        <v>1384</v>
      </c>
    </row>
    <row r="3" spans="1:3">
      <c r="A3" s="2" t="s">
        <v>1386</v>
      </c>
      <c r="B3" s="16" t="s">
        <v>1467</v>
      </c>
      <c r="C3" s="31" t="s">
        <v>1387</v>
      </c>
    </row>
    <row r="4" spans="1:3">
      <c r="A4" s="2" t="s">
        <v>1388</v>
      </c>
      <c r="B4" s="31" t="s">
        <v>1489</v>
      </c>
      <c r="C4" s="31"/>
    </row>
    <row r="5" spans="1:3">
      <c r="A5" s="30"/>
    </row>
    <row r="6" spans="1:3">
      <c r="A6" s="2" t="s">
        <v>1389</v>
      </c>
      <c r="B6" s="39">
        <v>46029</v>
      </c>
      <c r="C6" s="31"/>
    </row>
    <row r="7" spans="1:3">
      <c r="A7" s="2" t="s">
        <v>1390</v>
      </c>
      <c r="B7" s="31" t="s">
        <v>1468</v>
      </c>
      <c r="C7" s="31"/>
    </row>
    <row r="8" spans="1:3">
      <c r="A8" s="2" t="s">
        <v>1391</v>
      </c>
      <c r="B8" s="39">
        <v>46029</v>
      </c>
      <c r="C8" s="31"/>
    </row>
    <row r="9" spans="1:3">
      <c r="A9" s="2" t="s">
        <v>1392</v>
      </c>
      <c r="B9" s="31" t="s">
        <v>1468</v>
      </c>
      <c r="C9" s="31"/>
    </row>
    <row r="13" spans="1:3">
      <c r="A13" t="s">
        <v>1466</v>
      </c>
    </row>
    <row r="15" spans="1:3" ht="19.5" thickBot="1"/>
    <row r="16" spans="1:3" ht="19.5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9.5" thickBot="1">
      <c r="A35" s="47" t="s">
        <v>1465</v>
      </c>
      <c r="B35" s="48"/>
    </row>
    <row r="36" spans="1:2" ht="19.5" thickTop="1"/>
  </sheetData>
  <phoneticPr fontId="2"/>
  <conditionalFormatting sqref="B1:B3">
    <cfRule type="expression" dxfId="28" priority="1">
      <formula>"ISBLANK(B3)"</formula>
    </cfRule>
  </conditionalFormatting>
  <conditionalFormatting sqref="B2:B3">
    <cfRule type="expression" dxfId="27" priority="2" stopIfTrue="1">
      <formula>ISBLANK(B2)</formula>
    </cfRule>
  </conditionalFormatting>
  <conditionalFormatting sqref="B1:C1">
    <cfRule type="expression" dxfId="26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21" activePane="bottomRight" state="frozen"/>
      <selection pane="topRight" activeCell="D1" sqref="D1"/>
      <selection pane="bottomLeft" activeCell="A3" sqref="A3"/>
      <selection pane="bottomRight" activeCell="C9" sqref="C9"/>
    </sheetView>
  </sheetViews>
  <sheetFormatPr defaultColWidth="8.875" defaultRowHeight="18.75"/>
  <cols>
    <col min="1" max="1" width="15.5" bestFit="1" customWidth="1"/>
    <col min="2" max="2" width="15.5" customWidth="1"/>
    <col min="3" max="3" width="65.125" customWidth="1"/>
    <col min="4" max="4" width="14.875" customWidth="1"/>
    <col min="5" max="6" width="31.125" customWidth="1"/>
    <col min="7" max="7" width="29.375" bestFit="1" customWidth="1"/>
    <col min="8" max="8" width="55.5" bestFit="1" customWidth="1"/>
    <col min="9" max="9" width="11.5" customWidth="1"/>
    <col min="10" max="10" width="15.375" customWidth="1"/>
    <col min="11" max="11" width="12.375" customWidth="1"/>
    <col min="12" max="12" width="13.375" bestFit="1" customWidth="1"/>
    <col min="13" max="13" width="10.375" customWidth="1"/>
    <col min="14" max="14" width="14.125" bestFit="1" customWidth="1"/>
    <col min="15" max="15" width="19.5" customWidth="1"/>
    <col min="16" max="16" width="11.125" bestFit="1" customWidth="1"/>
    <col min="17" max="17" width="13.125" customWidth="1"/>
    <col min="18" max="18" width="12.5" customWidth="1"/>
    <col min="19" max="19" width="49.1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52" t="s">
        <v>1427</v>
      </c>
      <c r="B3" s="4" t="s">
        <v>1402</v>
      </c>
      <c r="C3" s="16" t="s">
        <v>1469</v>
      </c>
      <c r="D3" s="6"/>
      <c r="E3" s="6"/>
      <c r="F3" s="6"/>
      <c r="G3" s="5" t="s">
        <v>1469</v>
      </c>
      <c r="H3" s="5" t="s">
        <v>1469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1482</v>
      </c>
      <c r="O3" s="8"/>
      <c r="P3" s="8"/>
      <c r="Q3" s="8"/>
      <c r="R3" s="8"/>
      <c r="S3" s="9" t="s">
        <v>1482</v>
      </c>
    </row>
    <row r="4" spans="1:19">
      <c r="A4" s="53"/>
      <c r="B4" s="4" t="s">
        <v>1402</v>
      </c>
      <c r="C4" s="16" t="s">
        <v>1470</v>
      </c>
      <c r="D4" s="6"/>
      <c r="E4" s="6"/>
      <c r="F4" s="6"/>
      <c r="G4" s="5" t="s">
        <v>1470</v>
      </c>
      <c r="H4" s="5" t="s">
        <v>1470</v>
      </c>
      <c r="I4" s="6"/>
      <c r="J4" s="7" t="s">
        <v>1476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1483</v>
      </c>
      <c r="O4" s="8"/>
      <c r="P4" s="8"/>
      <c r="Q4" s="8"/>
      <c r="R4" s="8"/>
      <c r="S4" s="49" t="s">
        <v>1486</v>
      </c>
    </row>
    <row r="5" spans="1:19">
      <c r="A5" s="53"/>
      <c r="B5" s="4" t="s">
        <v>1402</v>
      </c>
      <c r="C5" s="16" t="s">
        <v>1471</v>
      </c>
      <c r="D5" s="6"/>
      <c r="E5" s="6"/>
      <c r="F5" s="6"/>
      <c r="G5" s="5" t="s">
        <v>1471</v>
      </c>
      <c r="H5" s="5" t="s">
        <v>1471</v>
      </c>
      <c r="I5" s="6"/>
      <c r="J5" s="7" t="s">
        <v>1477</v>
      </c>
      <c r="K5" s="32" t="str">
        <f t="shared" si="0"/>
        <v>integer</v>
      </c>
      <c r="L5" s="32" t="str">
        <f t="shared" si="1"/>
        <v/>
      </c>
      <c r="M5" s="8" t="s">
        <v>1480</v>
      </c>
      <c r="N5" s="8" t="s">
        <v>1484</v>
      </c>
      <c r="O5" s="8"/>
      <c r="P5" s="8"/>
      <c r="Q5" s="8"/>
      <c r="R5" s="8"/>
      <c r="S5" s="9" t="s">
        <v>1487</v>
      </c>
    </row>
    <row r="6" spans="1:19">
      <c r="A6" s="53"/>
      <c r="B6" s="4" t="s">
        <v>1402</v>
      </c>
      <c r="C6" s="16" t="s">
        <v>1472</v>
      </c>
      <c r="D6" s="6"/>
      <c r="E6" s="6"/>
      <c r="F6" s="6"/>
      <c r="G6" s="5" t="s">
        <v>1472</v>
      </c>
      <c r="H6" s="5" t="s">
        <v>1472</v>
      </c>
      <c r="I6" s="6"/>
      <c r="J6" s="7" t="s">
        <v>1478</v>
      </c>
      <c r="K6" s="32" t="str">
        <f t="shared" si="0"/>
        <v>number</v>
      </c>
      <c r="L6" s="32" t="str">
        <f t="shared" si="1"/>
        <v/>
      </c>
      <c r="M6" s="8" t="s">
        <v>1481</v>
      </c>
      <c r="N6" s="8" t="s">
        <v>1485</v>
      </c>
      <c r="O6" s="8"/>
      <c r="P6" s="8"/>
      <c r="Q6" s="8"/>
      <c r="R6" s="8"/>
      <c r="S6" s="9" t="s">
        <v>1488</v>
      </c>
    </row>
    <row r="7" spans="1:19">
      <c r="A7" s="53"/>
      <c r="B7" s="4" t="s">
        <v>44</v>
      </c>
      <c r="C7" s="16" t="s">
        <v>1473</v>
      </c>
      <c r="D7" s="6"/>
      <c r="E7" s="6"/>
      <c r="F7" s="6"/>
      <c r="G7" s="5" t="s">
        <v>1474</v>
      </c>
      <c r="H7" s="5" t="s">
        <v>1475</v>
      </c>
      <c r="I7" s="6"/>
      <c r="J7" s="7" t="s">
        <v>1479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53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53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3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3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3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53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3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3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3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3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53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3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53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53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53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53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3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3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3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3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3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3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3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3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3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3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3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3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3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3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3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3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3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3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3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4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5" priority="2" operator="equal">
      <formula>"OFF"</formula>
    </cfRule>
    <cfRule type="cellIs" dxfId="24" priority="3" operator="equal">
      <formula>"ON"</formula>
    </cfRule>
  </conditionalFormatting>
  <conditionalFormatting sqref="C1:C1048576 G1:H1048576 J1:J1048576">
    <cfRule type="expression" dxfId="23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="64" zoomScaleNormal="64" workbookViewId="0">
      <pane xSplit="4" ySplit="6" topLeftCell="E10" activePane="bottomRight" state="frozen"/>
      <selection pane="topRight" activeCell="E1" sqref="E1"/>
      <selection pane="bottomLeft" activeCell="A7" sqref="A7"/>
      <selection pane="bottomRight" activeCell="C34" sqref="C34"/>
    </sheetView>
  </sheetViews>
  <sheetFormatPr defaultColWidth="8.875" defaultRowHeight="18.75"/>
  <cols>
    <col min="1" max="1" width="19.5" bestFit="1" customWidth="1"/>
    <col min="2" max="2" width="21.625" bestFit="1" customWidth="1"/>
    <col min="3" max="3" width="18.875" customWidth="1"/>
    <col min="4" max="4" width="45" bestFit="1" customWidth="1"/>
    <col min="5" max="5" width="18" customWidth="1"/>
    <col min="6" max="6" width="25.875" bestFit="1" customWidth="1"/>
    <col min="7" max="7" width="40.875" bestFit="1" customWidth="1"/>
    <col min="8" max="8" width="30.5" bestFit="1" customWidth="1"/>
    <col min="9" max="9" width="14.25" bestFit="1" customWidth="1"/>
    <col min="10" max="10" width="15.625" bestFit="1" customWidth="1"/>
    <col min="11" max="11" width="12.375" bestFit="1" customWidth="1"/>
    <col min="12" max="12" width="12.625" bestFit="1" customWidth="1"/>
    <col min="13" max="13" width="12.625" customWidth="1"/>
    <col min="14" max="14" width="11.375" bestFit="1" customWidth="1"/>
    <col min="15" max="15" width="12.625" bestFit="1" customWidth="1"/>
    <col min="16" max="16" width="18.625" bestFit="1" customWidth="1"/>
    <col min="17" max="17" width="16.5" bestFit="1" customWidth="1"/>
    <col min="18" max="18" width="14.875" bestFit="1" customWidth="1"/>
    <col min="19" max="20" width="11.375" bestFit="1" customWidth="1"/>
    <col min="21" max="21" width="28.1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75" customWidth="1"/>
    <col min="28" max="28" width="13" customWidth="1"/>
    <col min="29" max="29" width="11.375" customWidth="1"/>
  </cols>
  <sheetData>
    <row r="1" spans="1:29">
      <c r="A1" s="20" t="s">
        <v>8</v>
      </c>
      <c r="B1" s="59" t="s">
        <v>9</v>
      </c>
      <c r="C1" s="60"/>
      <c r="D1" s="60"/>
      <c r="E1" s="61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5" t="str">
        <f>"https://rde.nims.go.jp/rde/dataset-templates/"&amp;説明!B3&amp;"/invoice.schema.json"</f>
        <v>https://rde.nims.go.jp/rde/dataset-templates/RDEDatasetTemplateSheet_rde_template_tools_sample/invoice.schema.json</v>
      </c>
      <c r="C2" s="66"/>
      <c r="D2" s="66"/>
      <c r="E2" s="6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62" t="str">
        <f>説明!B4&amp;": 送状定義"</f>
        <v>rde_template_tools用サンプル: 送状定義</v>
      </c>
      <c r="C3" s="63"/>
      <c r="D3" s="63"/>
      <c r="E3" s="64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5" t="s">
        <v>5</v>
      </c>
      <c r="B7" s="55" t="s">
        <v>33</v>
      </c>
      <c r="C7" s="4" t="s">
        <v>1402</v>
      </c>
      <c r="D7" s="27" t="s">
        <v>1490</v>
      </c>
      <c r="E7" s="28"/>
      <c r="F7" s="22" t="s">
        <v>1491</v>
      </c>
      <c r="G7" s="22" t="s">
        <v>1490</v>
      </c>
      <c r="H7" s="19" t="s">
        <v>1493</v>
      </c>
      <c r="I7" s="50" t="s">
        <v>1494</v>
      </c>
      <c r="J7" s="19"/>
      <c r="K7" s="23"/>
      <c r="L7" s="8" t="b">
        <v>1</v>
      </c>
      <c r="M7" s="7" t="s">
        <v>1492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>date</v>
      </c>
      <c r="P7" s="38" t="str">
        <f>_xlfn.IFS(M7="textarea","textarea",TRUE,"")</f>
        <v/>
      </c>
      <c r="Q7" s="28"/>
      <c r="R7" s="2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>
      <c r="A8" s="55"/>
      <c r="B8" s="55"/>
      <c r="C8" s="4" t="s">
        <v>44</v>
      </c>
      <c r="D8" s="27"/>
      <c r="E8" s="28"/>
      <c r="F8" s="22"/>
      <c r="G8" s="22"/>
      <c r="H8" s="19"/>
      <c r="I8" s="51"/>
      <c r="J8" s="19"/>
      <c r="K8" s="23"/>
      <c r="L8" s="8"/>
      <c r="M8" s="7" t="s">
        <v>4</v>
      </c>
      <c r="N8" s="38" t="str">
        <f t="shared" ref="N8:N17" si="0">_xlfn.IFS(M8="integer","integer",M8="number","number",M8="boolean","boolean",TRUE,"string")</f>
        <v>string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>
      <c r="A9" s="55"/>
      <c r="B9" s="55"/>
      <c r="C9" s="4" t="s">
        <v>44</v>
      </c>
      <c r="D9" s="27"/>
      <c r="E9" s="28"/>
      <c r="F9" s="22"/>
      <c r="G9" s="22"/>
      <c r="H9" s="19"/>
      <c r="I9" s="19"/>
      <c r="J9" s="19"/>
      <c r="K9" s="23"/>
      <c r="L9" s="8"/>
      <c r="M9" s="7" t="s">
        <v>4</v>
      </c>
      <c r="N9" s="38" t="str">
        <f t="shared" si="0"/>
        <v>string</v>
      </c>
      <c r="O9" s="38" t="str">
        <f t="shared" si="1"/>
        <v/>
      </c>
      <c r="P9" s="38" t="str">
        <f t="shared" si="2"/>
        <v/>
      </c>
      <c r="Q9" s="28"/>
      <c r="R9" s="2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5"/>
      <c r="B10" s="55"/>
      <c r="C10" s="4" t="s">
        <v>44</v>
      </c>
      <c r="D10" s="27"/>
      <c r="E10" s="28"/>
      <c r="F10" s="22"/>
      <c r="G10" s="22"/>
      <c r="H10" s="19"/>
      <c r="I10" s="19"/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55"/>
      <c r="B11" s="55"/>
      <c r="C11" s="4" t="s">
        <v>44</v>
      </c>
      <c r="D11" s="27"/>
      <c r="E11" s="28"/>
      <c r="F11" s="22"/>
      <c r="G11" s="22"/>
      <c r="H11" s="19"/>
      <c r="I11" s="19"/>
      <c r="J11" s="19"/>
      <c r="K11" s="23"/>
      <c r="L11" s="8"/>
      <c r="M11" s="7" t="s">
        <v>4</v>
      </c>
      <c r="N11" s="38" t="str">
        <f t="shared" si="0"/>
        <v>string</v>
      </c>
      <c r="O11" s="38" t="str">
        <f t="shared" si="1"/>
        <v/>
      </c>
      <c r="P11" s="38" t="str">
        <f t="shared" si="2"/>
        <v/>
      </c>
      <c r="Q11" s="28"/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5"/>
      <c r="B12" s="55"/>
      <c r="C12" s="4" t="s">
        <v>44</v>
      </c>
      <c r="D12" s="27"/>
      <c r="E12" s="28"/>
      <c r="F12" s="22"/>
      <c r="G12" s="22"/>
      <c r="H12" s="19"/>
      <c r="I12" s="19"/>
      <c r="J12" s="19"/>
      <c r="K12" s="23"/>
      <c r="L12" s="8"/>
      <c r="M12" s="7" t="s">
        <v>4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5"/>
      <c r="B13" s="55"/>
      <c r="C13" s="4" t="s">
        <v>44</v>
      </c>
      <c r="D13" s="27"/>
      <c r="E13" s="28"/>
      <c r="F13" s="22"/>
      <c r="G13" s="22"/>
      <c r="H13" s="19"/>
      <c r="I13" s="19"/>
      <c r="J13" s="19"/>
      <c r="K13" s="23"/>
      <c r="L13" s="8"/>
      <c r="M13" s="7" t="s">
        <v>4</v>
      </c>
      <c r="N13" s="38" t="str">
        <f t="shared" si="0"/>
        <v>string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5"/>
      <c r="B14" s="55"/>
      <c r="C14" s="4" t="s">
        <v>44</v>
      </c>
      <c r="D14" s="27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5"/>
      <c r="B15" s="55"/>
      <c r="C15" s="4" t="s">
        <v>44</v>
      </c>
      <c r="D15" s="27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5"/>
      <c r="B16" s="55"/>
      <c r="C16" s="4" t="s">
        <v>44</v>
      </c>
      <c r="D16" s="27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5"/>
      <c r="B17" s="55"/>
      <c r="C17" s="4" t="s">
        <v>44</v>
      </c>
      <c r="D17" s="27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6" t="s">
        <v>1379</v>
      </c>
      <c r="B18" s="55" t="s">
        <v>79</v>
      </c>
      <c r="C18" s="4" t="s">
        <v>1402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57"/>
      <c r="B19" s="55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57"/>
      <c r="B20" s="55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57"/>
      <c r="B21" s="55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57"/>
      <c r="B22" s="55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57"/>
      <c r="B23" s="55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58"/>
      <c r="B24" s="55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56" t="s">
        <v>1380</v>
      </c>
      <c r="B25" s="55" t="s">
        <v>40</v>
      </c>
      <c r="C25" s="4" t="s">
        <v>1402</v>
      </c>
      <c r="D25" s="27" t="str">
        <f>IFERROR(INDEX(sample.general_sample_term!A:H,MATCH($E25,sample.general_sample_term!C:C,FALSE),2),"")</f>
        <v>sample.general.general-name</v>
      </c>
      <c r="E25" s="21" t="s">
        <v>1274</v>
      </c>
      <c r="F25" s="27" t="str">
        <f>IFERROR(INDEX(sample.general_sample_term!A:H,MATCH($E25,sample.general_sample_term!C:C,FALSE),3),"")</f>
        <v>一般名称</v>
      </c>
      <c r="G25" s="27" t="str">
        <f>IFERROR(INDEX(sample.general_sample_term!A:H,MATCH($E25,sample.general_sample_term!C:C,FALSE),4),"")</f>
        <v>General name</v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>一般名称を入力してください</v>
      </c>
      <c r="V25" s="27" t="str">
        <f>IFERROR(INDEX(sample.general_sample_term!A:H,MATCH($E25,sample.general_sample_term!C:C,FALSE),6),"")</f>
        <v>Please enter General name</v>
      </c>
      <c r="W25" s="28"/>
      <c r="X25" s="28"/>
      <c r="Y25" s="28"/>
      <c r="Z25" s="28"/>
      <c r="AA25" s="28"/>
      <c r="AB25" s="28"/>
      <c r="AC25" s="28"/>
    </row>
    <row r="26" spans="1:29">
      <c r="A26" s="57"/>
      <c r="B26" s="55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57"/>
      <c r="B27" s="55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57"/>
      <c r="B28" s="55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57"/>
      <c r="B29" s="55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57"/>
      <c r="B30" s="55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57"/>
      <c r="B31" s="55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57"/>
      <c r="B32" s="55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58"/>
      <c r="B33" s="55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56" t="s">
        <v>1381</v>
      </c>
      <c r="B34" s="55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57"/>
      <c r="B35" s="55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57"/>
      <c r="B36" s="55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57"/>
      <c r="B37" s="55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57"/>
      <c r="B38" s="55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57"/>
      <c r="B39" s="55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57"/>
      <c r="B40" s="55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57"/>
      <c r="B41" s="55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58"/>
      <c r="B42" s="55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2" priority="1" stopIfTrue="1">
      <formula>ISBLANK(B1)</formula>
    </cfRule>
  </conditionalFormatting>
  <conditionalFormatting sqref="C7:C42">
    <cfRule type="cellIs" dxfId="21" priority="19" operator="equal">
      <formula>"OFF"</formula>
    </cfRule>
    <cfRule type="cellIs" dxfId="20" priority="20" operator="equal">
      <formula>"ON"</formula>
    </cfRule>
  </conditionalFormatting>
  <conditionalFormatting sqref="D18:D24">
    <cfRule type="expression" dxfId="19" priority="3">
      <formula>AND($C18="ON",ISBLANK(D18))</formula>
    </cfRule>
  </conditionalFormatting>
  <conditionalFormatting sqref="F7:G24">
    <cfRule type="expression" dxfId="18" priority="2">
      <formula>AND($C7="ON",ISBLANK(F7))</formula>
    </cfRule>
  </conditionalFormatting>
  <conditionalFormatting sqref="M7:M17 E25:E42">
    <cfRule type="expression" dxfId="17" priority="17">
      <formula>AND($C7="ON",ISBLANK(E7))</formula>
    </cfRule>
  </conditionalFormatting>
  <conditionalFormatting sqref="N7:O17">
    <cfRule type="cellIs" dxfId="16" priority="16" operator="equal">
      <formula>"ON"</formula>
    </cfRule>
  </conditionalFormatting>
  <conditionalFormatting sqref="Q7:Q17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17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B1" sqref="B1:E1"/>
    </sheetView>
  </sheetViews>
  <sheetFormatPr defaultColWidth="8.875" defaultRowHeight="18.75"/>
  <cols>
    <col min="1" max="1" width="16.125" bestFit="1" customWidth="1"/>
    <col min="2" max="2" width="23" customWidth="1"/>
    <col min="3" max="5" width="28.875" bestFit="1" customWidth="1"/>
    <col min="6" max="7" width="15.625" customWidth="1"/>
    <col min="8" max="9" width="14.125" bestFit="1" customWidth="1"/>
    <col min="10" max="10" width="18.625" bestFit="1" customWidth="1"/>
    <col min="11" max="11" width="15.625" bestFit="1" customWidth="1"/>
    <col min="12" max="12" width="18.625" bestFit="1" customWidth="1"/>
    <col min="13" max="14" width="13.125" bestFit="1" customWidth="1"/>
    <col min="15" max="15" width="18.625" bestFit="1" customWidth="1"/>
    <col min="16" max="16" width="18.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25" hidden="1" customWidth="1"/>
    <col min="26" max="26" width="11.375" hidden="1" customWidth="1"/>
  </cols>
  <sheetData>
    <row r="1" spans="1:26">
      <c r="A1" s="20" t="s">
        <v>8</v>
      </c>
      <c r="B1" s="71" t="s">
        <v>9</v>
      </c>
      <c r="C1" s="71"/>
      <c r="D1" s="71"/>
      <c r="E1" s="71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2" t="str">
        <f>"https://rde.nims.go.jp/rde/dataset-templates/"&amp;説明!B3&amp;"/catalog.schema.json"</f>
        <v>https://rde.nims.go.jp/rde/dataset-templates/RDEDatasetTemplateSheet_rde_template_tools_sample/catalog.schema.json</v>
      </c>
      <c r="C2" s="72"/>
      <c r="D2" s="72"/>
      <c r="E2" s="72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3" t="str">
        <f>説明!B4&amp;": データカタログ定義"</f>
        <v>rde_template_tools用サンプル: データカタログ定義</v>
      </c>
      <c r="C3" s="73"/>
      <c r="D3" s="73"/>
      <c r="E3" s="73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2" t="str">
        <f>説明!B1&amp;":データカタログ定義"</f>
        <v>RDEDatasetTemplateSheet_rde_template_tools_sample:データカタログ定義</v>
      </c>
      <c r="C4" s="72"/>
      <c r="D4" s="72"/>
      <c r="E4" s="72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2" t="str">
        <f>説明!B2&amp;":data catalog format"</f>
        <v>RDEDatasetTemplateSheet_rde_template_tools_sample:data catalog format</v>
      </c>
      <c r="C5" s="72"/>
      <c r="D5" s="72"/>
      <c r="E5" s="72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8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69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69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69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69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69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69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69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69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0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defaultColWidth="8.875" defaultRowHeight="18.75"/>
  <cols>
    <col min="1" max="1" width="40.875" bestFit="1" customWidth="1"/>
    <col min="2" max="2" width="48.375" bestFit="1" customWidth="1"/>
    <col min="3" max="3" width="53.125" customWidth="1"/>
    <col min="4" max="4" width="29.625" customWidth="1"/>
    <col min="5" max="5" width="25.625" customWidth="1"/>
    <col min="6" max="6" width="40.625" bestFit="1" customWidth="1"/>
    <col min="7" max="7" width="30.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defaultColWidth="8.875" defaultRowHeight="18.75"/>
  <cols>
    <col min="1" max="1" width="40.625" bestFit="1" customWidth="1"/>
    <col min="2" max="2" width="49.5" bestFit="1" customWidth="1"/>
    <col min="3" max="3" width="26.125" bestFit="1" customWidth="1"/>
    <col min="4" max="4" width="41.5" bestFit="1" customWidth="1"/>
    <col min="5" max="5" width="42.125" bestFit="1" customWidth="1"/>
    <col min="6" max="6" width="44.125" bestFit="1" customWidth="1"/>
    <col min="7" max="7" width="50.375" customWidth="1"/>
    <col min="8" max="8" width="40.87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defaultColWidth="8.875" defaultRowHeight="18.75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defaultColWidth="8.875" defaultRowHeight="18.75"/>
  <cols>
    <col min="1" max="1" width="40.5" bestFit="1" customWidth="1"/>
    <col min="2" max="2" width="40.625" bestFit="1" customWidth="1"/>
    <col min="3" max="3" width="48.875" bestFit="1" customWidth="1"/>
    <col min="4" max="4" width="34.375" bestFit="1" customWidth="1"/>
    <col min="5" max="5" width="35.125" bestFit="1" customWidth="1"/>
    <col min="6" max="6" width="24.125" bestFit="1" customWidth="1"/>
    <col min="7" max="7" width="29" bestFit="1" customWidth="1"/>
    <col min="8" max="8" width="42.125" bestFit="1" customWidth="1"/>
    <col min="9" max="9" width="44.125" bestFit="1" customWidth="1"/>
    <col min="10" max="10" width="50.375" bestFit="1" customWidth="1"/>
    <col min="11" max="11" width="40.875" bestFit="1" customWidth="1"/>
    <col min="12" max="12" width="40.87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TOSAKA Hiroaki</cp:lastModifiedBy>
  <cp:revision/>
  <dcterms:created xsi:type="dcterms:W3CDTF">2015-06-05T18:19:34Z</dcterms:created>
  <dcterms:modified xsi:type="dcterms:W3CDTF">2026-04-01T00:07:49Z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