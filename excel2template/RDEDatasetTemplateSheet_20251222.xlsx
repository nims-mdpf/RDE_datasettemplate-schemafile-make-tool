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gitlab/common-materials/rde_template_tools/excel2template/"/>
    </mc:Choice>
  </mc:AlternateContent>
  <xr:revisionPtr revIDLastSave="0" documentId="13_ncr:1_{49558360-A64A-EC4E-B495-14C4D2C5263F}" xr6:coauthVersionLast="47" xr6:coauthVersionMax="47" xr10:uidLastSave="{00000000-0000-0000-0000-000000000000}"/>
  <bookViews>
    <workbookView xWindow="7180" yWindow="1900" windowWidth="20880" windowHeight="13900" activeTab="2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8" l="1"/>
  <c r="P9" i="8"/>
  <c r="P10" i="8"/>
  <c r="P11" i="8"/>
  <c r="P12" i="8"/>
  <c r="P13" i="8"/>
  <c r="P14" i="8"/>
  <c r="P15" i="8"/>
  <c r="P16" i="8"/>
  <c r="P17" i="8"/>
  <c r="O8" i="8"/>
  <c r="O9" i="8"/>
  <c r="O10" i="8"/>
  <c r="O11" i="8"/>
  <c r="O12" i="8"/>
  <c r="O13" i="8"/>
  <c r="O14" i="8"/>
  <c r="O15" i="8"/>
  <c r="O16" i="8"/>
  <c r="O17" i="8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3" i="6"/>
  <c r="N8" i="8"/>
  <c r="N9" i="8"/>
  <c r="N10" i="8"/>
  <c r="N11" i="8"/>
  <c r="N12" i="8"/>
  <c r="N13" i="8"/>
  <c r="N14" i="8"/>
  <c r="N15" i="8"/>
  <c r="N16" i="8"/>
  <c r="N17" i="8"/>
  <c r="B3" i="7"/>
  <c r="B3" i="8"/>
  <c r="B5" i="7"/>
  <c r="B4" i="7"/>
  <c r="B2" i="7"/>
  <c r="B2" i="8"/>
  <c r="C2" i="10"/>
  <c r="V33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25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P7" i="8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29" i="8" l="1"/>
  <c r="F27" i="8"/>
  <c r="G26" i="8"/>
  <c r="U33" i="8"/>
  <c r="V32" i="8"/>
  <c r="D28" i="8"/>
  <c r="F26" i="8"/>
  <c r="U32" i="8"/>
  <c r="V31" i="8"/>
  <c r="D27" i="8"/>
  <c r="G25" i="8"/>
  <c r="U31" i="8"/>
  <c r="V30" i="8"/>
  <c r="D26" i="8"/>
  <c r="F25" i="8"/>
  <c r="G33" i="8"/>
  <c r="U30" i="8"/>
  <c r="V29" i="8"/>
  <c r="L2" i="12"/>
  <c r="F33" i="8"/>
  <c r="G32" i="8"/>
  <c r="U29" i="8"/>
  <c r="V28" i="8"/>
  <c r="L36" i="12"/>
  <c r="D25" i="8"/>
  <c r="F32" i="8"/>
  <c r="G31" i="8"/>
  <c r="U28" i="8"/>
  <c r="V27" i="8"/>
  <c r="D33" i="8"/>
  <c r="F31" i="8"/>
  <c r="G30" i="8"/>
  <c r="U27" i="8"/>
  <c r="V26" i="8"/>
  <c r="D32" i="8"/>
  <c r="F30" i="8"/>
  <c r="G29" i="8"/>
  <c r="U26" i="8"/>
  <c r="D31" i="8"/>
  <c r="F29" i="8"/>
  <c r="G28" i="8"/>
  <c r="D30" i="8"/>
  <c r="F28" i="8"/>
  <c r="G27" i="8"/>
  <c r="U25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0" i="8" l="1"/>
  <c r="U41" i="8"/>
  <c r="F35" i="8"/>
  <c r="D38" i="8"/>
  <c r="V41" i="8"/>
  <c r="U42" i="8"/>
  <c r="G35" i="8"/>
  <c r="F36" i="8"/>
  <c r="D39" i="8"/>
  <c r="V42" i="8"/>
  <c r="U34" i="8"/>
  <c r="G36" i="8"/>
  <c r="F37" i="8"/>
  <c r="D40" i="8"/>
  <c r="V34" i="8"/>
  <c r="G37" i="8"/>
  <c r="F38" i="8"/>
  <c r="D41" i="8"/>
  <c r="U35" i="8"/>
  <c r="G38" i="8"/>
  <c r="F39" i="8"/>
  <c r="D42" i="8"/>
  <c r="V35" i="8"/>
  <c r="U36" i="8"/>
  <c r="G39" i="8"/>
  <c r="F40" i="8"/>
  <c r="D34" i="8"/>
  <c r="V36" i="8"/>
  <c r="U37" i="8"/>
  <c r="G40" i="8"/>
  <c r="F41" i="8"/>
  <c r="V37" i="8"/>
  <c r="U38" i="8"/>
  <c r="G41" i="8"/>
  <c r="F42" i="8"/>
  <c r="D35" i="8"/>
  <c r="V38" i="8"/>
  <c r="U39" i="8"/>
  <c r="G42" i="8"/>
  <c r="F34" i="8"/>
  <c r="D36" i="8"/>
  <c r="V39" i="8"/>
  <c r="U40" i="8"/>
  <c r="G34" i="8"/>
  <c r="D37" i="8"/>
</calcChain>
</file>

<file path=xl/sharedStrings.xml><?xml version="1.0" encoding="utf-8"?>
<sst xmlns="http://schemas.openxmlformats.org/spreadsheetml/2006/main" count="2547" uniqueCount="1468">
  <si>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</si>
  <si>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</si>
  <si>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</si>
  <si>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</si>
  <si>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</si>
  <si>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</si>
  <si>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</si>
  <si>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</si>
  <si>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</si>
  <si>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</si>
  <si>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</si>
  <si>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</si>
  <si>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</si>
  <si>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</si>
  <si>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</si>
  <si>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</si>
  <si>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</si>
  <si>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</si>
  <si>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</si>
  <si>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</si>
  <si>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</si>
  <si>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</si>
  <si>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</si>
  <si>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</si>
  <si>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</si>
  <si>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</si>
  <si>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</si>
  <si>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</si>
  <si>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</si>
  <si>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</si>
  <si>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</si>
  <si>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</si>
  <si>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</si>
  <si>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</si>
  <si>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</si>
  <si>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</si>
  <si>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</si>
  <si>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</si>
  <si>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</si>
  <si>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</si>
  <si>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</si>
  <si>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</si>
  <si>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</si>
  <si>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</si>
  <si>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</si>
  <si>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</si>
  <si>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</si>
  <si>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</si>
  <si>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</si>
  <si>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</si>
  <si>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</si>
  <si>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</si>
  <si>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</si>
  <si>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</si>
  <si>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</si>
  <si>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</si>
  <si>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</si>
  <si>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</si>
  <si>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</si>
  <si>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</si>
  <si>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</si>
  <si>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</si>
  <si>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</si>
  <si>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</si>
  <si>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</si>
  <si>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</si>
  <si>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</si>
  <si>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</si>
  <si>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</si>
  <si>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</si>
  <si>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</si>
  <si>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</si>
  <si>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</si>
  <si>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</si>
  <si>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</si>
  <si>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</si>
  <si>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</si>
  <si>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</si>
  <si>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</si>
  <si>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</si>
  <si>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</si>
  <si>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</si>
  <si>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</si>
  <si>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</si>
  <si>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</si>
  <si>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</si>
  <si>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</si>
  <si>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</si>
  <si>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</si>
  <si>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</si>
  <si>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</si>
  <si>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</si>
  <si>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</si>
  <si>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</si>
  <si>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</si>
  <si>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</si>
  <si>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</si>
  <si>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</si>
  <si>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</si>
  <si>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</si>
  <si>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</si>
  <si>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</si>
  <si>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</si>
  <si>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</si>
  <si>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</si>
  <si>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</si>
  <si>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</si>
  <si>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</si>
  <si>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</si>
  <si>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</si>
  <si>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</si>
  <si>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</si>
  <si>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</si>
  <si>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</si>
  <si>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</si>
  <si>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</si>
  <si>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</si>
  <si>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</si>
  <si>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</si>
  <si>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</si>
  <si>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</si>
  <si>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</si>
  <si>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</si>
  <si>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</si>
  <si>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</si>
  <si>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</si>
  <si>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</si>
  <si>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</si>
  <si>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</si>
  <si>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</si>
  <si>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</si>
  <si>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</si>
  <si>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</si>
  <si>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</si>
  <si>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</si>
  <si>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</si>
  <si>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</si>
  <si>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</si>
  <si>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</si>
  <si>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</si>
  <si>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</si>
  <si>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</si>
  <si>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</si>
  <si>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</si>
  <si>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</si>
  <si>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</si>
  <si>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</si>
  <si>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</si>
  <si>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</si>
  <si>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</si>
  <si>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</si>
  <si>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</si>
  <si>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</si>
  <si>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</si>
  <si>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</si>
  <si>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</si>
  <si>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</si>
  <si>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</si>
  <si>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</si>
  <si>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</si>
  <si>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</si>
  <si>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</si>
  <si>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</si>
  <si>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</si>
  <si>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</si>
  <si>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</si>
  <si>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</si>
  <si>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</si>
  <si>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</si>
  <si>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</si>
  <si>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</si>
  <si>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</si>
  <si>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</si>
  <si>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</si>
  <si>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</si>
  <si>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</si>
  <si>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</si>
  <si>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</si>
  <si>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</si>
  <si>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</si>
  <si>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</si>
  <si>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</si>
  <si>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</si>
  <si>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</si>
  <si>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</si>
  <si>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</si>
  <si>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</si>
  <si>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</si>
  <si>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</si>
  <si>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</si>
  <si>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</si>
  <si>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</si>
  <si>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</si>
  <si>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</si>
  <si>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</si>
  <si>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</si>
  <si>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</si>
  <si>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</si>
  <si>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</si>
  <si>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</si>
  <si>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</si>
  <si>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</si>
  <si>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</si>
  <si>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</si>
  <si>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</si>
  <si>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</si>
  <si>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</si>
  <si>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</si>
  <si>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</si>
  <si>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</si>
  <si>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</si>
  <si>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</si>
  <si>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</si>
  <si>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</si>
  <si>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</si>
  <si>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</si>
  <si>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</si>
  <si>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</si>
  <si>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</si>
  <si>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</si>
  <si>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</si>
  <si>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</si>
  <si>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</si>
  <si>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</si>
  <si>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</si>
  <si>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</si>
  <si>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</si>
  <si>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</si>
  <si>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</si>
  <si>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</si>
  <si>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</si>
  <si>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</si>
  <si>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</si>
  <si>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</si>
  <si>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</si>
  <si>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</si>
  <si>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</si>
  <si>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</si>
  <si>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</si>
  <si>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</si>
  <si>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</si>
  <si>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</si>
  <si>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</si>
  <si>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</si>
  <si>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</si>
  <si>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</si>
  <si>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</si>
  <si>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</si>
  <si>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</si>
  <si>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</si>
  <si>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</si>
  <si>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</si>
  <si>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</si>
  <si>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</si>
  <si>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</si>
  <si>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</si>
  <si>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</si>
  <si>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</si>
  <si>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</si>
  <si>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</si>
  <si>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</si>
  <si>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</si>
  <si>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</si>
  <si>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</si>
  <si>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</si>
  <si>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</si>
  <si>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</si>
  <si>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</si>
  <si>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</si>
  <si>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</si>
  <si>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</si>
  <si>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</si>
  <si>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</si>
  <si>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</si>
  <si>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</si>
  <si>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</si>
  <si>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</si>
  <si>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</si>
  <si>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</si>
  <si>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</si>
  <si>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</si>
  <si>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</si>
  <si>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</si>
  <si>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</si>
  <si>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</si>
  <si>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</si>
  <si>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</si>
  <si>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</si>
  <si>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</si>
  <si>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</si>
  <si>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</si>
  <si>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</si>
  <si>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</si>
  <si>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</si>
  <si>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</si>
  <si>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</si>
  <si>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</si>
  <si>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</si>
  <si>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</si>
  <si>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</si>
  <si>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</si>
  <si>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</si>
  <si>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</si>
  <si>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</si>
  <si>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</si>
  <si>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</si>
  <si>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</si>
  <si>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</si>
  <si>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</si>
  <si>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</si>
  <si>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</si>
  <si>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</si>
  <si>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</si>
  <si>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</si>
  <si>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</si>
  <si>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</si>
  <si>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</si>
  <si>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</si>
  <si>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</si>
  <si>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</si>
  <si>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</si>
  <si>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</si>
  <si>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</si>
  <si>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</si>
  <si>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</si>
  <si>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</si>
  <si>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</si>
  <si>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</si>
  <si>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</si>
  <si>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</si>
  <si>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</si>
  <si>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</si>
  <si>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</si>
  <si>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</si>
  <si>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</si>
  <si>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</si>
  <si>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</si>
  <si>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</si>
  <si>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</si>
  <si>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</si>
  <si>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</si>
  <si>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</si>
  <si>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</si>
  <si>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</si>
  <si>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</si>
  <si>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</si>
  <si>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</si>
  <si>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</si>
  <si>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</si>
  <si>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</si>
  <si>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</si>
  <si>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</si>
  <si>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</si>
  <si>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</si>
  <si>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</si>
  <si>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</si>
  <si>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</si>
  <si>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</si>
  <si>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</si>
  <si>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</si>
  <si>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</si>
  <si>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</si>
  <si>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</si>
  <si>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</si>
  <si>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</si>
  <si>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</si>
  <si>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</si>
  <si>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</si>
  <si>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</si>
  <si>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</si>
  <si>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</si>
  <si>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</si>
  <si>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</si>
  <si>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</si>
  <si>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</si>
  <si>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</si>
  <si>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</si>
  <si>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</si>
  <si>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</si>
  <si>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</si>
  <si>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</si>
  <si>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</si>
  <si>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</si>
  <si>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</si>
  <si>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</si>
  <si>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</si>
  <si>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</si>
  <si>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</si>
  <si>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</si>
  <si>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</si>
  <si>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</si>
  <si>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</si>
  <si>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</si>
  <si>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</si>
  <si>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</si>
  <si>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</si>
  <si>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</si>
  <si>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</si>
  <si>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</si>
  <si>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</si>
  <si>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</si>
  <si>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</si>
  <si>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</si>
  <si>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</si>
  <si>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</si>
  <si>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</si>
  <si>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</si>
  <si>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</si>
  <si>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</si>
  <si>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</si>
  <si>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</si>
  <si>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</si>
  <si>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</si>
  <si>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</si>
  <si>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</si>
  <si>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</si>
  <si>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</si>
  <si>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</si>
  <si>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</si>
  <si>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</si>
  <si>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</si>
  <si>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</si>
  <si>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</si>
  <si>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</si>
  <si>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</si>
  <si>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</si>
  <si>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</si>
  <si>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</si>
  <si>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</si>
  <si>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</si>
  <si>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</si>
  <si>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</si>
  <si>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</si>
  <si>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</si>
  <si>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</si>
  <si>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</si>
  <si>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</si>
  <si>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</si>
  <si>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</si>
  <si>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</si>
  <si>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</si>
  <si>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</si>
  <si>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</si>
  <si>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</si>
  <si>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</si>
  <si>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</si>
  <si>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</si>
  <si>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</si>
  <si>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</si>
  <si>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</si>
  <si>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</si>
  <si>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</si>
  <si>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</si>
  <si>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</si>
  <si>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</si>
  <si>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</si>
  <si>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</si>
  <si>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</si>
  <si>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</si>
  <si>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</si>
  <si>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</si>
  <si>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</si>
  <si>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</si>
  <si>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</si>
  <si>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</si>
  <si>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</si>
  <si>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</si>
  <si>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</si>
  <si>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</si>
  <si>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</si>
  <si>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</si>
  <si>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</si>
  <si>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</si>
  <si>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</si>
  <si>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</si>
  <si>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</si>
  <si>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</si>
  <si>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</si>
  <si>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</si>
  <si>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</si>
  <si>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</si>
  <si>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</si>
  <si>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</si>
  <si>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</si>
  <si>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</si>
  <si>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</si>
  <si>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</si>
  <si>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</si>
  <si>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</si>
  <si>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</si>
  <si>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</si>
  <si>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</si>
  <si>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</si>
  <si>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</si>
  <si>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</si>
  <si>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</si>
  <si>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</si>
  <si>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</si>
  <si>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</si>
  <si>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</si>
  <si>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</si>
  <si>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</si>
  <si>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</si>
  <si>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</si>
  <si>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</si>
  <si>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</si>
  <si>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</si>
  <si>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</si>
  <si>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</si>
  <si>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</si>
  <si>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</si>
  <si>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</si>
  <si>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</si>
  <si>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</si>
  <si>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</si>
  <si>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</si>
  <si>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</si>
  <si>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</si>
  <si>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</si>
  <si>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</si>
  <si>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</si>
  <si>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</si>
  <si>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</si>
  <si>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</si>
  <si>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</si>
  <si>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</si>
  <si>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</si>
  <si>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</si>
  <si>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</si>
  <si>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</si>
  <si>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</si>
  <si>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</si>
  <si>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</si>
  <si>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</si>
  <si>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</si>
  <si>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</si>
  <si>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</si>
  <si>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</si>
  <si>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</si>
  <si>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</si>
  <si>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</si>
  <si>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</si>
  <si>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</si>
  <si>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</si>
  <si>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</si>
  <si>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</si>
  <si>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</si>
  <si>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</si>
  <si>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</si>
  <si>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</si>
  <si>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</si>
  <si>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</si>
  <si>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</si>
  <si>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</si>
  <si>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</si>
  <si>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</si>
  <si>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</si>
  <si>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</si>
  <si>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</si>
  <si>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</si>
  <si>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</si>
  <si>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</si>
  <si>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</si>
  <si>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</si>
  <si>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</si>
  <si>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</si>
  <si>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</si>
  <si>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</si>
  <si>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</si>
  <si>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</si>
  <si>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</si>
  <si>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</si>
  <si>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</si>
  <si>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</si>
  <si>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</si>
  <si>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</si>
  <si>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</si>
  <si>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</si>
  <si>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</si>
  <si>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</si>
  <si>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</si>
  <si>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</si>
  <si>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</si>
  <si>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</si>
  <si>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</si>
  <si>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</si>
  <si>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</si>
  <si>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</si>
  <si>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</si>
  <si>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</si>
  <si>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</si>
  <si>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</si>
  <si>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</si>
  <si>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</si>
  <si>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</si>
  <si>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</si>
  <si>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</si>
  <si>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</si>
  <si>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</si>
  <si>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</si>
  <si>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</si>
  <si>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</si>
  <si>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</si>
  <si>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</si>
  <si>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</si>
  <si>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</si>
  <si>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</si>
  <si>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</si>
  <si>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</si>
  <si>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</si>
  <si>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</si>
  <si>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</si>
  <si>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</si>
  <si>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</si>
  <si>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</si>
  <si>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</si>
  <si>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</si>
  <si>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</si>
  <si>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</si>
  <si>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</si>
  <si>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</si>
  <si>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</si>
  <si>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</si>
  <si>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</si>
  <si>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</si>
  <si>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</si>
  <si>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</si>
  <si>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</si>
  <si>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</si>
  <si>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</si>
  <si>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</si>
  <si>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</si>
  <si>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</si>
  <si>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</si>
  <si>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</si>
  <si>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</si>
  <si>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</si>
  <si>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</si>
  <si>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</si>
  <si>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</si>
  <si>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</si>
  <si>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</si>
  <si>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</si>
  <si>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</si>
  <si>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</si>
  <si>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</si>
  <si>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</si>
  <si>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</si>
  <si>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</si>
  <si>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</si>
  <si>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</si>
  <si>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</si>
  <si>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</si>
  <si>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</si>
  <si>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</si>
  <si>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</si>
  <si>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</si>
  <si>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</si>
  <si>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</si>
  <si>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</si>
  <si>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</si>
  <si>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</si>
  <si>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</si>
  <si>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</si>
  <si>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</si>
  <si>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</si>
  <si>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</si>
  <si>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</si>
  <si>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</si>
  <si>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</si>
  <si>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</si>
  <si>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</si>
  <si>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</si>
  <si>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</si>
  <si>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</si>
  <si>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</si>
  <si>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</si>
  <si>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</si>
  <si>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</si>
  <si>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</si>
  <si>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</si>
  <si>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</si>
  <si>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</si>
  <si>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</si>
  <si>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</si>
  <si>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</si>
  <si>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</si>
  <si>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</si>
  <si>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</si>
  <si>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</si>
  <si>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</si>
  <si>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</si>
  <si>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</si>
  <si>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</si>
  <si>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</si>
  <si>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</si>
  <si>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</si>
  <si>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</si>
  <si>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</si>
  <si>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</si>
  <si>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</si>
  <si>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</si>
  <si>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</si>
  <si>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</si>
  <si>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</si>
  <si>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</si>
  <si>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</si>
  <si>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</si>
  <si>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</si>
  <si>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</si>
  <si>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</si>
  <si>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</si>
  <si>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</si>
  <si>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</si>
  <si>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</si>
  <si>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</si>
  <si>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</si>
  <si>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</si>
  <si>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</si>
  <si>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</si>
  <si>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</si>
  <si>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</si>
  <si>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</si>
  <si>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</si>
  <si>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</si>
  <si>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</si>
  <si>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</si>
  <si>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</si>
  <si>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</si>
  <si>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</si>
  <si>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</si>
  <si>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</si>
  <si>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</si>
  <si>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</si>
  <si>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</si>
  <si>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</si>
  <si>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</si>
  <si>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</si>
  <si>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</si>
  <si>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</si>
  <si>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</si>
  <si>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</si>
  <si>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</si>
  <si>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</si>
  <si>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</si>
  <si>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</si>
  <si>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</si>
  <si>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</si>
  <si>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</si>
  <si>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</si>
  <si>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</si>
  <si>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</si>
  <si>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</si>
  <si>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</si>
  <si>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</si>
  <si>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</si>
  <si>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</si>
  <si>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</si>
  <si>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</si>
  <si>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</si>
  <si>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</si>
  <si>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</si>
  <si>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</si>
  <si>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</si>
  <si>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</si>
  <si>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</si>
  <si>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</si>
  <si>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</si>
  <si>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</si>
  <si>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</si>
  <si>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</si>
  <si>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</si>
  <si>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</si>
  <si>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</si>
  <si>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</si>
  <si>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</si>
  <si>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</si>
  <si>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</si>
  <si>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</si>
  <si>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</si>
  <si>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</si>
  <si>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</si>
  <si>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</si>
  <si>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</si>
  <si>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</si>
  <si>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</si>
  <si>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</si>
  <si>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</si>
  <si>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</si>
  <si>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</si>
  <si>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</si>
  <si>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</si>
  <si>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</si>
  <si>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</si>
  <si>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</si>
  <si>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</si>
  <si>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</si>
  <si>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</si>
  <si>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</si>
  <si>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</si>
  <si>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</si>
  <si>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</si>
  <si>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</si>
  <si>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</si>
  <si>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</si>
  <si>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</si>
  <si>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</si>
  <si>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</si>
  <si>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</si>
  <si>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</si>
  <si>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</si>
  <si>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</si>
  <si>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</si>
  <si>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</si>
  <si>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</si>
  <si>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</si>
  <si>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</si>
  <si>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</si>
  <si>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</si>
  <si>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</si>
  <si>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</si>
  <si>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</si>
  <si>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</si>
  <si>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</si>
  <si>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</si>
  <si>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</si>
  <si>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</si>
  <si>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</si>
  <si>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</si>
  <si>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</si>
  <si>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</si>
  <si>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</si>
  <si>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</si>
  <si>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</si>
  <si>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</si>
  <si>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</si>
  <si>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</si>
  <si>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</si>
  <si>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</si>
  <si>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</si>
  <si>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</si>
  <si>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</si>
  <si>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</si>
  <si>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</si>
  <si>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</si>
  <si>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</si>
  <si>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</si>
  <si>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</si>
  <si>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</si>
  <si>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</si>
  <si>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</si>
  <si>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</si>
  <si>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</si>
  <si>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</si>
  <si>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</si>
  <si>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</si>
  <si>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</si>
  <si>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</si>
  <si>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</si>
  <si>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</si>
  <si>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</si>
  <si>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</si>
  <si>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</si>
  <si>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</si>
  <si>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</si>
  <si>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</si>
  <si>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</si>
  <si>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</si>
  <si>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</si>
  <si>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</si>
  <si>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</si>
  <si>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</si>
  <si>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</si>
  <si>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</si>
  <si>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</si>
  <si>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</si>
  <si>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</si>
  <si>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</si>
  <si>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</si>
  <si>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</si>
  <si>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</si>
  <si>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</si>
  <si>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</si>
  <si>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</si>
  <si>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</si>
  <si>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</si>
  <si>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</si>
  <si>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</si>
  <si>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</si>
  <si>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</si>
  <si>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</si>
  <si>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</si>
  <si>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</si>
  <si>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</si>
  <si>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</si>
  <si>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</si>
  <si>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</si>
  <si>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</si>
  <si>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</si>
  <si>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</si>
  <si>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</si>
  <si>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</si>
  <si>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</si>
  <si>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</si>
  <si>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</si>
  <si>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</si>
  <si>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</si>
  <si>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</si>
  <si>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</si>
  <si>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</si>
  <si>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</si>
  <si>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</si>
  <si>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</si>
  <si>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</si>
  <si>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</si>
  <si>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</si>
  <si>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</si>
  <si>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</si>
  <si>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</si>
  <si>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</si>
  <si>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</si>
  <si>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</si>
  <si>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</si>
  <si>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</si>
  <si>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</si>
  <si>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</si>
  <si>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</si>
  <si>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</si>
  <si>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</si>
  <si>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</si>
  <si>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</si>
  <si>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</si>
  <si>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</si>
  <si>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</si>
  <si>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</si>
  <si>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</si>
  <si>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</si>
  <si>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</si>
  <si>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</si>
  <si>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</si>
  <si>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</si>
  <si>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</si>
  <si>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</si>
  <si>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</si>
  <si>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</si>
  <si>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</si>
  <si>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</si>
  <si>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</si>
  <si>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</si>
  <si>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</si>
  <si>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</si>
  <si>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</si>
  <si>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</si>
  <si>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</si>
  <si>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</si>
  <si>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</si>
  <si>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</si>
  <si>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</si>
  <si>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</si>
  <si>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</si>
  <si>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</si>
  <si>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</si>
  <si>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</si>
  <si>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</si>
  <si>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</si>
  <si>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</si>
  <si>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</si>
  <si>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</si>
  <si>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</si>
  <si>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</si>
  <si>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</si>
  <si>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</si>
  <si>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</si>
  <si>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</si>
  <si>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</si>
  <si>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</si>
  <si>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</si>
  <si>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</si>
  <si>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</si>
  <si>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</si>
  <si>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</si>
  <si>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</si>
  <si>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</si>
  <si>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</si>
  <si>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</si>
  <si>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</si>
  <si>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</si>
  <si>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</si>
  <si>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</si>
  <si>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</si>
  <si>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</si>
  <si>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</si>
  <si>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</si>
  <si>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</si>
  <si>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</si>
  <si>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</si>
  <si>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</si>
  <si>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</si>
  <si>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</si>
  <si>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</si>
  <si>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</si>
  <si>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</si>
  <si>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</si>
  <si>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</si>
  <si>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</si>
  <si>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</si>
  <si>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</si>
  <si>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</si>
  <si>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</si>
  <si>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</si>
  <si>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</si>
  <si>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</si>
  <si>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</si>
  <si>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</si>
  <si>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</si>
  <si>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</si>
  <si>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</si>
  <si>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</si>
  <si>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</si>
  <si>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</si>
  <si>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</si>
  <si>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</si>
  <si>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</si>
  <si>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</si>
  <si>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</si>
  <si>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</si>
  <si>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</si>
  <si>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</si>
  <si>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</si>
  <si>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</si>
  <si>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</si>
  <si>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</si>
  <si>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</si>
  <si>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</si>
  <si>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</si>
  <si>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</si>
  <si>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</si>
  <si>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</si>
  <si>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</si>
  <si>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</si>
  <si>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</si>
  <si>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</si>
  <si>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</si>
  <si>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</si>
  <si>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</si>
  <si>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</si>
  <si>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</si>
  <si>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</si>
  <si>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</si>
  <si>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</si>
  <si>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</si>
  <si>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</si>
  <si>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</si>
  <si>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</si>
  <si>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</si>
  <si>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</si>
  <si>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</si>
  <si>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</si>
  <si>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</si>
  <si>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</si>
  <si>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</si>
  <si>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</si>
  <si>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</si>
  <si>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</si>
  <si>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</si>
  <si>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</si>
  <si>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</si>
  <si>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</si>
  <si>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</si>
  <si>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</si>
  <si>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</si>
  <si>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</si>
  <si>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</si>
  <si>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</si>
  <si>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</si>
  <si>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</si>
  <si>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</si>
  <si>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</si>
  <si>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</si>
  <si>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</si>
  <si>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</si>
  <si>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</si>
  <si>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</si>
  <si>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</si>
  <si>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</si>
  <si>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</si>
  <si>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</si>
  <si>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</si>
  <si>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</si>
  <si>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</si>
  <si>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</si>
  <si>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</si>
  <si>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</si>
  <si>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</si>
  <si>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</si>
  <si>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</si>
  <si>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</si>
  <si>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</si>
  <si>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</si>
  <si>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</si>
  <si>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</si>
  <si>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</si>
  <si>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</si>
  <si>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</si>
  <si>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</si>
  <si>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</si>
  <si>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</si>
  <si>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</si>
  <si>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</si>
  <si>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</si>
  <si>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</si>
  <si>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</si>
  <si>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</si>
  <si>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</si>
  <si>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</si>
  <si>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</si>
  <si>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</si>
  <si>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</si>
  <si>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</si>
  <si>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</si>
  <si>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</si>
  <si>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</si>
  <si>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</si>
  <si>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</si>
  <si>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</si>
  <si>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</si>
  <si>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</si>
  <si>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</si>
  <si>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</si>
  <si>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</si>
  <si>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</si>
  <si>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</si>
  <si>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</si>
  <si>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</si>
  <si>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</si>
  <si>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</si>
  <si>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</si>
  <si>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</si>
  <si>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</si>
  <si>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</si>
  <si>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</si>
  <si>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</si>
  <si>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</si>
  <si>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</si>
  <si>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</si>
  <si>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</si>
  <si>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</si>
  <si>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</si>
  <si>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</si>
  <si>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</si>
  <si>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</si>
  <si>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</si>
  <si>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</si>
  <si>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</si>
  <si>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</si>
  <si>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</si>
  <si>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</si>
  <si>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</si>
  <si>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</si>
  <si>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</si>
  <si>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</si>
  <si>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</si>
  <si>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</si>
  <si>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</si>
  <si>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</si>
  <si>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</si>
  <si>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</si>
  <si>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</si>
  <si>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</si>
  <si>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</si>
  <si>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</si>
  <si>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</si>
  <si>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</si>
  <si>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</si>
  <si>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</si>
  <si>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</si>
  <si>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</si>
  <si>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</si>
  <si>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</si>
  <si>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</si>
  <si>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</si>
  <si>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</si>
  <si>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</si>
  <si>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</si>
  <si>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</si>
  <si>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</si>
  <si>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</si>
  <si>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</si>
  <si>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</si>
  <si>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</si>
  <si>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</si>
  <si>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</si>
  <si>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</si>
  <si>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</si>
  <si>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</si>
  <si>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</si>
  <si>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</si>
  <si>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</si>
  <si>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</si>
  <si>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</si>
  <si>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</si>
  <si>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</si>
  <si>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</si>
  <si>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</si>
  <si>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</si>
  <si>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</si>
  <si>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</si>
  <si>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</si>
  <si>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</si>
  <si>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</si>
  <si>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</si>
  <si>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</si>
  <si>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</si>
  <si>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</si>
  <si>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</si>
  <si>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</si>
  <si>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</si>
  <si>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</si>
  <si>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</si>
  <si>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</si>
  <si>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</si>
  <si>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</si>
  <si>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</si>
  <si>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</si>
  <si>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</si>
  <si>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</si>
  <si>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</si>
  <si>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</si>
  <si>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</si>
  <si>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</si>
  <si>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</si>
  <si>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</si>
  <si>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</si>
  <si>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</si>
  <si>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</si>
  <si>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</si>
  <si>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</si>
  <si>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</si>
  <si>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</si>
  <si>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</si>
  <si>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</si>
  <si>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</si>
  <si>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</si>
  <si>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</si>
  <si>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</si>
  <si>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</si>
  <si>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</si>
  <si>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</si>
  <si>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</si>
  <si>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</si>
  <si>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</si>
  <si>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</si>
  <si>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</si>
  <si>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</si>
  <si>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</si>
  <si>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</si>
  <si>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</si>
  <si>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</si>
  <si>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</si>
  <si>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</si>
  <si>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</si>
  <si>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</si>
  <si>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</si>
  <si>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</si>
  <si>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</si>
  <si>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</si>
  <si>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</si>
  <si>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</si>
  <si>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</si>
  <si>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</si>
  <si>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</si>
  <si>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</si>
  <si>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</si>
  <si>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</si>
  <si>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</si>
  <si>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</si>
  <si>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</si>
  <si>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</si>
  <si>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</si>
  <si>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</si>
  <si>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</si>
  <si>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</si>
  <si>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</si>
  <si>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</si>
  <si>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</si>
  <si>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</si>
  <si>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</si>
  <si>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</si>
  <si>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</si>
  <si>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</si>
  <si>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</si>
  <si>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</si>
  <si>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</si>
  <si>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</si>
  <si>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</si>
  <si>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</si>
  <si>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</si>
  <si>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</si>
  <si>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</si>
  <si>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</si>
  <si>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</si>
  <si>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</si>
  <si>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</si>
  <si>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</si>
  <si>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</si>
  <si>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</si>
  <si>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</si>
  <si>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</si>
  <si>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</si>
  <si>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</si>
  <si>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</si>
  <si>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</si>
  <si>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</si>
  <si>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</si>
  <si>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</si>
  <si>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</si>
  <si>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</si>
  <si>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</si>
  <si>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</si>
  <si>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</si>
  <si>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</si>
  <si>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</si>
  <si>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</si>
  <si>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</si>
  <si>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</si>
  <si>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</si>
  <si>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</si>
  <si>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</si>
  <si>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</si>
  <si>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</si>
  <si>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</si>
  <si>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</si>
  <si>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</si>
  <si>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</si>
  <si>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</si>
  <si>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</si>
  <si>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</si>
  <si>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</si>
  <si>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</si>
  <si>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</si>
  <si>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</si>
  <si>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</si>
  <si>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</si>
  <si>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</si>
  <si>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</si>
  <si>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</si>
  <si>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</si>
  <si>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</si>
  <si>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</si>
  <si>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</si>
  <si>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</si>
  <si>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</si>
  <si>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</si>
  <si>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</si>
  <si>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</si>
  <si>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</si>
  <si>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</si>
  <si>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</si>
  <si>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</si>
  <si>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</si>
  <si>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</si>
  <si>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</si>
  <si>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</si>
  <si>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</si>
  <si>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</si>
  <si>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</si>
  <si>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</si>
  <si>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</si>
  <si>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</si>
  <si>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</si>
  <si>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</si>
  <si>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</si>
  <si>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</si>
  <si>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</si>
  <si>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</si>
  <si>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</si>
  <si>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</si>
  <si>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</si>
  <si>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</si>
  <si>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</si>
  <si>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</si>
  <si>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</si>
  <si>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</si>
  <si>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</si>
  <si>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</si>
  <si>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</si>
  <si>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</si>
  <si>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</si>
  <si>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</si>
  <si>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</si>
  <si>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</si>
  <si>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</si>
  <si>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</si>
  <si>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</si>
  <si>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</si>
  <si>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</si>
  <si>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</si>
  <si>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</si>
  <si>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</si>
  <si>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</si>
  <si>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</si>
  <si>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</si>
  <si>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</si>
  <si>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</si>
  <si>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</si>
  <si>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</si>
  <si>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</si>
  <si>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</si>
  <si>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</si>
  <si>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</si>
  <si>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</si>
  <si>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</si>
  <si>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</si>
  <si>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</si>
  <si>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</si>
  <si>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</si>
  <si>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</si>
  <si>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</si>
  <si>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</si>
  <si>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</si>
  <si>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</si>
  <si>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</si>
  <si>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</si>
  <si>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</si>
  <si>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</si>
  <si>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</si>
  <si>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</si>
  <si>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</si>
  <si>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</si>
  <si>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</si>
  <si>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</si>
  <si>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</si>
  <si>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</si>
  <si>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</si>
  <si>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</si>
  <si>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</si>
  <si>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</si>
  <si>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</si>
  <si>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</si>
  <si>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</si>
  <si>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</si>
  <si>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</si>
  <si>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</si>
  <si>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</si>
  <si>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</si>
  <si>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</si>
  <si>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</si>
  <si>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</si>
  <si>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</si>
  <si>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</si>
  <si>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</si>
  <si>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</si>
  <si>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</si>
  <si>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</si>
  <si>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</si>
  <si>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</si>
  <si>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</si>
  <si>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</si>
  <si>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</si>
  <si>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</si>
  <si>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</si>
  <si>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</si>
  <si>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</si>
  <si>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</si>
  <si>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</si>
  <si>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</si>
  <si>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</si>
  <si>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有機材料/化学式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</si>
</sst>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0" borderId="1" xfId="0" quotePrefix="1" applyFont="1" applyBorder="1" applyAlignment="1">
      <alignment vertical="center"/>
    </xf>
    <xf numFmtId="0" fontId="5" fillId="3" borderId="1" xfId="2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1" xfId="2" applyFont="1" applyBorder="1" applyAlignment="1">
      <alignment vertical="center"/>
    </xf>
    <xf numFmtId="0" fontId="4" fillId="3" borderId="1" xfId="2" applyFont="1" applyFill="1" applyBorder="1" applyAlignment="1">
      <alignment vertical="center"/>
    </xf>
    <xf numFmtId="0" fontId="4" fillId="0" borderId="1" xfId="2" applyFont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0" fontId="5" fillId="3" borderId="1" xfId="2" applyFont="1" applyFill="1" applyBorder="1"/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30"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5"/>
  <sheetViews>
    <sheetView workbookViewId="0">
      <selection activeCell="B4" sqref="B4"/>
    </sheetView>
  </sheetViews>
  <sheetFormatPr baseColWidth="10" defaultColWidth="8.83203125" defaultRowHeight="17"/>
  <cols>
    <col min="1" max="1" width="31.6640625" bestFit="1" customWidth="1"/>
    <col min="2" max="2" width="33.83203125" bestFit="1" customWidth="1"/>
    <col min="3" max="3" width="42.5" bestFit="1" customWidth="1"/>
  </cols>
  <sheetData>
    <row r="1" spans="1:3">
      <c r="A1" s="2" t="s">
        <v>1383</v>
      </c>
      <c r="B1" s="16" t="s">
        <v>6</v>
      </c>
      <c r="C1" s="31" t="s">
        <v>1384</v>
      </c>
    </row>
    <row r="2" spans="1:3" ht="18">
      <c r="A2" s="2" t="s">
        <v>1385</v>
      </c>
      <c r="B2" s="16" t="s">
        <v>6</v>
      </c>
      <c r="C2" s="31" t="s">
        <v>1384</v>
      </c>
    </row>
    <row r="3" spans="1:3" ht="18">
      <c r="A3" s="2" t="s">
        <v>1386</v>
      </c>
      <c r="B3" s="16" t="s">
        <v>6</v>
      </c>
      <c r="C3" s="31" t="s">
        <v>1387</v>
      </c>
    </row>
    <row r="4" spans="1:3">
      <c r="A4" s="2" t="s">
        <v>1388</v>
      </c>
      <c r="B4" s="31"/>
      <c r="C4" s="31"/>
    </row>
    <row r="5" spans="1:3" ht="18">
      <c r="A5" s="30"/>
    </row>
    <row r="6" spans="1:3">
      <c r="A6" s="2" t="s">
        <v>1389</v>
      </c>
      <c r="B6" s="39"/>
      <c r="C6" s="31"/>
    </row>
    <row r="7" spans="1:3">
      <c r="A7" s="2" t="s">
        <v>1390</v>
      </c>
      <c r="B7" s="31"/>
      <c r="C7" s="31"/>
    </row>
    <row r="8" spans="1:3">
      <c r="A8" s="2" t="s">
        <v>1391</v>
      </c>
      <c r="B8" s="39"/>
      <c r="C8" s="31"/>
    </row>
    <row r="9" spans="1:3">
      <c r="A9" s="2" t="s">
        <v>1392</v>
      </c>
      <c r="B9" s="31"/>
      <c r="C9" s="31"/>
    </row>
    <row r="12" spans="1:3">
      <c r="A12" t="s">
        <v>1466</v>
      </c>
    </row>
    <row r="14" spans="1:3" ht="18" thickBot="1"/>
    <row r="15" spans="1:3" ht="18" thickTop="1">
      <c r="A15" s="40" t="s">
        <v>1452</v>
      </c>
      <c r="B15" s="41"/>
    </row>
    <row r="16" spans="1:3">
      <c r="A16" s="42"/>
      <c r="B16" s="43"/>
    </row>
    <row r="17" spans="1:2">
      <c r="A17" s="42" t="s">
        <v>1453</v>
      </c>
      <c r="B17" s="43"/>
    </row>
    <row r="18" spans="1:2">
      <c r="A18" s="42" t="s">
        <v>1454</v>
      </c>
      <c r="B18" s="43"/>
    </row>
    <row r="19" spans="1:2">
      <c r="A19" s="42"/>
      <c r="B19" s="43"/>
    </row>
    <row r="20" spans="1:2">
      <c r="A20" s="42" t="s">
        <v>1455</v>
      </c>
      <c r="B20" s="43"/>
    </row>
    <row r="21" spans="1:2">
      <c r="A21" s="42" t="s">
        <v>1456</v>
      </c>
      <c r="B21" s="43"/>
    </row>
    <row r="22" spans="1:2">
      <c r="A22" s="42" t="s">
        <v>1457</v>
      </c>
      <c r="B22" s="43"/>
    </row>
    <row r="23" spans="1:2">
      <c r="A23" s="42" t="s">
        <v>1458</v>
      </c>
      <c r="B23" s="43"/>
    </row>
    <row r="24" spans="1:2">
      <c r="A24" s="42"/>
      <c r="B24" s="43"/>
    </row>
    <row r="25" spans="1:2">
      <c r="A25" s="42" t="s">
        <v>1459</v>
      </c>
      <c r="B25" s="43"/>
    </row>
    <row r="26" spans="1:2">
      <c r="A26" s="42"/>
      <c r="B26" s="43"/>
    </row>
    <row r="27" spans="1:2">
      <c r="A27" s="44"/>
      <c r="B27" s="43" t="s">
        <v>1460</v>
      </c>
    </row>
    <row r="28" spans="1:2">
      <c r="A28" s="42"/>
      <c r="B28" s="43" t="s">
        <v>1461</v>
      </c>
    </row>
    <row r="29" spans="1:2">
      <c r="A29" s="45"/>
      <c r="B29" s="43" t="s">
        <v>1462</v>
      </c>
    </row>
    <row r="30" spans="1:2">
      <c r="A30" s="46"/>
      <c r="B30" s="43" t="s">
        <v>1463</v>
      </c>
    </row>
    <row r="31" spans="1:2">
      <c r="A31" s="42"/>
      <c r="B31" s="43"/>
    </row>
    <row r="32" spans="1:2">
      <c r="A32" s="42"/>
      <c r="B32" s="43"/>
    </row>
    <row r="33" spans="1:2">
      <c r="A33" s="42" t="s">
        <v>1464</v>
      </c>
      <c r="B33" s="43"/>
    </row>
    <row r="34" spans="1:2" ht="18" thickBot="1">
      <c r="A34" s="47" t="s">
        <v>1465</v>
      </c>
      <c r="B34" s="48"/>
    </row>
    <row r="35" spans="1:2" ht="18" thickTop="1"/>
  </sheetData>
  <phoneticPr fontId="2"/>
  <conditionalFormatting sqref="B1:B3">
    <cfRule type="expression" dxfId="29" priority="1">
      <formula>"ISBLANK(B3)"</formula>
    </cfRule>
  </conditionalFormatting>
  <conditionalFormatting sqref="B2:B3">
    <cfRule type="expression" dxfId="28" priority="2" stopIfTrue="1">
      <formula>ISBLANK(B2)</formula>
    </cfRule>
  </conditionalFormatting>
  <conditionalFormatting sqref="B1:C1">
    <cfRule type="expression" dxfId="27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S44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3" sqref="F3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19">
      <c r="A1" s="2" t="s">
        <v>0</v>
      </c>
      <c r="B1" s="2" t="s">
        <v>43</v>
      </c>
      <c r="C1" s="2" t="s">
        <v>25</v>
      </c>
      <c r="D1" s="2" t="s">
        <v>1429</v>
      </c>
      <c r="E1" s="2" t="s">
        <v>1444</v>
      </c>
      <c r="F1" s="2" t="s">
        <v>1445</v>
      </c>
      <c r="G1" s="2" t="s">
        <v>23</v>
      </c>
      <c r="H1" s="2" t="s">
        <v>24</v>
      </c>
      <c r="I1" s="2" t="s">
        <v>26</v>
      </c>
      <c r="J1" s="2" t="s">
        <v>1393</v>
      </c>
      <c r="K1" s="2" t="s">
        <v>1</v>
      </c>
      <c r="L1" s="2" t="s">
        <v>27</v>
      </c>
      <c r="M1" s="2" t="s">
        <v>2</v>
      </c>
      <c r="N1" s="2" t="s">
        <v>11</v>
      </c>
      <c r="O1" s="2" t="s">
        <v>3</v>
      </c>
      <c r="P1" s="2" t="s">
        <v>28</v>
      </c>
      <c r="Q1" s="2" t="s">
        <v>29</v>
      </c>
      <c r="R1" s="2" t="s">
        <v>12</v>
      </c>
      <c r="S1" s="2" t="s">
        <v>6</v>
      </c>
    </row>
    <row r="2" spans="1:19" ht="46.5" customHeight="1">
      <c r="A2" s="3" t="s">
        <v>45</v>
      </c>
      <c r="B2" s="3" t="s">
        <v>1397</v>
      </c>
      <c r="C2" s="3" t="s">
        <v>47</v>
      </c>
      <c r="D2" s="3" t="s">
        <v>1449</v>
      </c>
      <c r="E2" s="3" t="s">
        <v>1450</v>
      </c>
      <c r="F2" s="3" t="s">
        <v>1451</v>
      </c>
      <c r="G2" s="3" t="s">
        <v>48</v>
      </c>
      <c r="H2" s="3" t="s">
        <v>49</v>
      </c>
      <c r="I2" s="3" t="s">
        <v>46</v>
      </c>
      <c r="J2" s="3" t="s">
        <v>1396</v>
      </c>
      <c r="K2" s="3" t="s">
        <v>1394</v>
      </c>
      <c r="L2" s="3" t="s">
        <v>1395</v>
      </c>
      <c r="M2" s="3" t="s">
        <v>50</v>
      </c>
      <c r="N2" s="3" t="s">
        <v>51</v>
      </c>
      <c r="O2" s="3" t="s">
        <v>52</v>
      </c>
      <c r="P2" s="3" t="s">
        <v>53</v>
      </c>
      <c r="Q2" s="3" t="s">
        <v>54</v>
      </c>
      <c r="R2" s="3" t="s">
        <v>55</v>
      </c>
      <c r="S2" s="2" t="s">
        <v>30</v>
      </c>
    </row>
    <row r="3" spans="1:19">
      <c r="A3" s="62" t="s">
        <v>1427</v>
      </c>
      <c r="B3" s="4" t="s">
        <v>44</v>
      </c>
      <c r="C3" s="16"/>
      <c r="D3" s="6"/>
      <c r="E3" s="6"/>
      <c r="F3" s="6"/>
      <c r="G3" s="5"/>
      <c r="H3" s="5"/>
      <c r="I3" s="6"/>
      <c r="J3" s="7" t="s">
        <v>4</v>
      </c>
      <c r="K3" s="32" t="str">
        <f>_xlfn.IFS(J3="integer","integer",J3="number","number",J3="array","array",J3="boolean","boolean",TRUE,"string")</f>
        <v>string</v>
      </c>
      <c r="L3" s="32" t="str">
        <f>_xlfn.IFS(J3="datetime","date-time",J3="duration","duration",TRUE,"")</f>
        <v/>
      </c>
      <c r="M3" s="8"/>
      <c r="N3" s="8"/>
      <c r="O3" s="8"/>
      <c r="P3" s="8"/>
      <c r="Q3" s="8"/>
      <c r="R3" s="8"/>
      <c r="S3" s="9"/>
    </row>
    <row r="4" spans="1:19">
      <c r="A4" s="63"/>
      <c r="B4" s="4" t="s">
        <v>44</v>
      </c>
      <c r="C4" s="16"/>
      <c r="D4" s="6"/>
      <c r="E4" s="6"/>
      <c r="F4" s="6"/>
      <c r="G4" s="5"/>
      <c r="H4" s="5"/>
      <c r="I4" s="6"/>
      <c r="J4" s="7" t="s">
        <v>4</v>
      </c>
      <c r="K4" s="32" t="str">
        <f t="shared" ref="K4:K43" si="0">_xlfn.IFS(J4="integer","integer",J4="number","number",J4="array","array",J4="boolean","boolean",TRUE,"string")</f>
        <v>string</v>
      </c>
      <c r="L4" s="32" t="str">
        <f t="shared" ref="L4:L43" si="1">_xlfn.IFS(J4="datetime","date-time",J4="duration","duration",TRUE,"")</f>
        <v/>
      </c>
      <c r="M4" s="8"/>
      <c r="N4" s="8"/>
      <c r="O4" s="8"/>
      <c r="P4" s="8"/>
      <c r="Q4" s="8"/>
      <c r="R4" s="8"/>
      <c r="S4" s="9"/>
    </row>
    <row r="5" spans="1:19">
      <c r="A5" s="63"/>
      <c r="B5" s="4" t="s">
        <v>44</v>
      </c>
      <c r="C5" s="16"/>
      <c r="D5" s="6"/>
      <c r="E5" s="6"/>
      <c r="F5" s="6"/>
      <c r="G5" s="5"/>
      <c r="H5" s="5"/>
      <c r="I5" s="6"/>
      <c r="J5" s="7" t="s">
        <v>4</v>
      </c>
      <c r="K5" s="32" t="str">
        <f t="shared" si="0"/>
        <v>string</v>
      </c>
      <c r="L5" s="32" t="str">
        <f t="shared" si="1"/>
        <v/>
      </c>
      <c r="M5" s="8"/>
      <c r="N5" s="8"/>
      <c r="O5" s="8"/>
      <c r="P5" s="8"/>
      <c r="Q5" s="8"/>
      <c r="R5" s="8"/>
      <c r="S5" s="9"/>
    </row>
    <row r="6" spans="1:19">
      <c r="A6" s="63"/>
      <c r="B6" s="4" t="s">
        <v>44</v>
      </c>
      <c r="C6" s="16"/>
      <c r="D6" s="6"/>
      <c r="E6" s="6"/>
      <c r="F6" s="6"/>
      <c r="G6" s="5"/>
      <c r="H6" s="5"/>
      <c r="I6" s="6"/>
      <c r="J6" s="7" t="s">
        <v>4</v>
      </c>
      <c r="K6" s="32" t="str">
        <f t="shared" si="0"/>
        <v>string</v>
      </c>
      <c r="L6" s="32" t="str">
        <f t="shared" si="1"/>
        <v/>
      </c>
      <c r="M6" s="8"/>
      <c r="N6" s="8"/>
      <c r="O6" s="8"/>
      <c r="P6" s="8"/>
      <c r="Q6" s="8"/>
      <c r="R6" s="8"/>
      <c r="S6" s="9"/>
    </row>
    <row r="7" spans="1:19">
      <c r="A7" s="63"/>
      <c r="B7" s="4" t="s">
        <v>44</v>
      </c>
      <c r="C7" s="16"/>
      <c r="D7" s="6"/>
      <c r="E7" s="6"/>
      <c r="F7" s="6"/>
      <c r="G7" s="5"/>
      <c r="H7" s="5"/>
      <c r="I7" s="6"/>
      <c r="J7" s="7" t="s">
        <v>4</v>
      </c>
      <c r="K7" s="32" t="str">
        <f t="shared" si="0"/>
        <v>string</v>
      </c>
      <c r="L7" s="32" t="str">
        <f t="shared" si="1"/>
        <v/>
      </c>
      <c r="M7" s="8"/>
      <c r="N7" s="8"/>
      <c r="O7" s="8"/>
      <c r="P7" s="8"/>
      <c r="Q7" s="8"/>
      <c r="R7" s="8"/>
      <c r="S7" s="9"/>
    </row>
    <row r="8" spans="1:19">
      <c r="A8" s="63"/>
      <c r="B8" s="4" t="s">
        <v>44</v>
      </c>
      <c r="C8" s="16"/>
      <c r="D8" s="6"/>
      <c r="E8" s="6"/>
      <c r="F8" s="6"/>
      <c r="G8" s="5"/>
      <c r="H8" s="5"/>
      <c r="I8" s="6"/>
      <c r="J8" s="7" t="s">
        <v>4</v>
      </c>
      <c r="K8" s="32" t="str">
        <f t="shared" si="0"/>
        <v>string</v>
      </c>
      <c r="L8" s="32" t="str">
        <f t="shared" si="1"/>
        <v/>
      </c>
      <c r="M8" s="8"/>
      <c r="N8" s="8"/>
      <c r="O8" s="8"/>
      <c r="P8" s="8"/>
      <c r="Q8" s="8"/>
      <c r="R8" s="8"/>
      <c r="S8" s="9"/>
    </row>
    <row r="9" spans="1:19">
      <c r="A9" s="63"/>
      <c r="B9" s="4" t="s">
        <v>44</v>
      </c>
      <c r="C9" s="16"/>
      <c r="D9" s="6"/>
      <c r="E9" s="6"/>
      <c r="F9" s="6"/>
      <c r="G9" s="5"/>
      <c r="H9" s="5"/>
      <c r="I9" s="6"/>
      <c r="J9" s="7" t="s">
        <v>4</v>
      </c>
      <c r="K9" s="32" t="str">
        <f t="shared" si="0"/>
        <v>string</v>
      </c>
      <c r="L9" s="32" t="str">
        <f t="shared" si="1"/>
        <v/>
      </c>
      <c r="M9" s="8"/>
      <c r="N9" s="8"/>
      <c r="O9" s="8"/>
      <c r="P9" s="8"/>
      <c r="Q9" s="8"/>
      <c r="R9" s="8"/>
      <c r="S9" s="9"/>
    </row>
    <row r="10" spans="1:19">
      <c r="A10" s="63"/>
      <c r="B10" s="4" t="s">
        <v>44</v>
      </c>
      <c r="C10" s="16"/>
      <c r="D10" s="6"/>
      <c r="E10" s="6"/>
      <c r="F10" s="6"/>
      <c r="G10" s="5"/>
      <c r="H10" s="5"/>
      <c r="I10" s="6"/>
      <c r="J10" s="7" t="s">
        <v>4</v>
      </c>
      <c r="K10" s="32" t="str">
        <f t="shared" si="0"/>
        <v>string</v>
      </c>
      <c r="L10" s="32" t="str">
        <f t="shared" si="1"/>
        <v/>
      </c>
      <c r="M10" s="8"/>
      <c r="N10" s="8"/>
      <c r="O10" s="8"/>
      <c r="P10" s="8"/>
      <c r="Q10" s="8"/>
      <c r="R10" s="8"/>
      <c r="S10" s="9"/>
    </row>
    <row r="11" spans="1:19">
      <c r="A11" s="63"/>
      <c r="B11" s="4" t="s">
        <v>44</v>
      </c>
      <c r="C11" s="16"/>
      <c r="D11" s="6"/>
      <c r="E11" s="6"/>
      <c r="F11" s="6"/>
      <c r="G11" s="5"/>
      <c r="H11" s="5"/>
      <c r="I11" s="6"/>
      <c r="J11" s="7" t="s">
        <v>4</v>
      </c>
      <c r="K11" s="32" t="str">
        <f t="shared" si="0"/>
        <v>string</v>
      </c>
      <c r="L11" s="32" t="str">
        <f t="shared" si="1"/>
        <v/>
      </c>
      <c r="M11" s="8"/>
      <c r="N11" s="8"/>
      <c r="O11" s="8"/>
      <c r="P11" s="8"/>
      <c r="Q11" s="8"/>
      <c r="R11" s="8"/>
      <c r="S11" s="9"/>
    </row>
    <row r="12" spans="1:19">
      <c r="A12" s="63"/>
      <c r="B12" s="4" t="s">
        <v>44</v>
      </c>
      <c r="C12" s="16"/>
      <c r="D12" s="6"/>
      <c r="E12" s="6"/>
      <c r="F12" s="6"/>
      <c r="G12" s="5"/>
      <c r="H12" s="5"/>
      <c r="I12" s="6"/>
      <c r="J12" s="7" t="s">
        <v>4</v>
      </c>
      <c r="K12" s="32" t="str">
        <f t="shared" si="0"/>
        <v>string</v>
      </c>
      <c r="L12" s="32" t="str">
        <f t="shared" si="1"/>
        <v/>
      </c>
      <c r="M12" s="8"/>
      <c r="N12" s="8"/>
      <c r="O12" s="8"/>
      <c r="P12" s="8"/>
      <c r="Q12" s="8"/>
      <c r="R12" s="8"/>
      <c r="S12" s="9"/>
    </row>
    <row r="13" spans="1:19">
      <c r="A13" s="63"/>
      <c r="B13" s="4" t="s">
        <v>44</v>
      </c>
      <c r="C13" s="16"/>
      <c r="D13" s="6"/>
      <c r="E13" s="6"/>
      <c r="F13" s="6"/>
      <c r="G13" s="5"/>
      <c r="H13" s="5"/>
      <c r="I13" s="6"/>
      <c r="J13" s="7" t="s">
        <v>4</v>
      </c>
      <c r="K13" s="32" t="str">
        <f t="shared" si="0"/>
        <v>string</v>
      </c>
      <c r="L13" s="32" t="str">
        <f t="shared" si="1"/>
        <v/>
      </c>
      <c r="M13" s="8"/>
      <c r="N13" s="8"/>
      <c r="O13" s="8"/>
      <c r="P13" s="8"/>
      <c r="Q13" s="8"/>
      <c r="R13" s="8"/>
      <c r="S13" s="9"/>
    </row>
    <row r="14" spans="1:19">
      <c r="A14" s="63"/>
      <c r="B14" s="4" t="s">
        <v>44</v>
      </c>
      <c r="C14" s="16"/>
      <c r="D14" s="10"/>
      <c r="E14" s="10"/>
      <c r="F14" s="10"/>
      <c r="G14" s="11"/>
      <c r="H14" s="11"/>
      <c r="I14" s="6"/>
      <c r="J14" s="7" t="s">
        <v>4</v>
      </c>
      <c r="K14" s="32" t="str">
        <f t="shared" si="0"/>
        <v>string</v>
      </c>
      <c r="L14" s="32" t="str">
        <f t="shared" si="1"/>
        <v/>
      </c>
      <c r="M14" s="12"/>
      <c r="N14" s="8"/>
      <c r="O14" s="8"/>
      <c r="P14" s="8"/>
      <c r="Q14" s="8"/>
      <c r="R14" s="8"/>
      <c r="S14" s="9"/>
    </row>
    <row r="15" spans="1:19">
      <c r="A15" s="63"/>
      <c r="B15" s="4" t="s">
        <v>44</v>
      </c>
      <c r="C15" s="16"/>
      <c r="D15" s="10"/>
      <c r="E15" s="10"/>
      <c r="F15" s="10"/>
      <c r="G15" s="7"/>
      <c r="H15" s="11"/>
      <c r="I15" s="6"/>
      <c r="J15" s="7" t="s">
        <v>4</v>
      </c>
      <c r="K15" s="32" t="str">
        <f t="shared" si="0"/>
        <v>string</v>
      </c>
      <c r="L15" s="32" t="str">
        <f t="shared" si="1"/>
        <v/>
      </c>
      <c r="M15" s="8"/>
      <c r="N15" s="8"/>
      <c r="O15" s="8"/>
      <c r="P15" s="8"/>
      <c r="Q15" s="8"/>
      <c r="R15" s="8"/>
      <c r="S15" s="9"/>
    </row>
    <row r="16" spans="1:19">
      <c r="A16" s="63"/>
      <c r="B16" s="4" t="s">
        <v>44</v>
      </c>
      <c r="C16" s="16"/>
      <c r="D16" s="13"/>
      <c r="E16" s="13"/>
      <c r="F16" s="13"/>
      <c r="G16" s="14"/>
      <c r="H16" s="14"/>
      <c r="I16" s="15"/>
      <c r="J16" s="7" t="s">
        <v>4</v>
      </c>
      <c r="K16" s="32" t="str">
        <f t="shared" si="0"/>
        <v>string</v>
      </c>
      <c r="L16" s="32" t="str">
        <f t="shared" si="1"/>
        <v/>
      </c>
      <c r="M16" s="9"/>
      <c r="N16" s="8"/>
      <c r="O16" s="8"/>
      <c r="P16" s="8"/>
      <c r="Q16" s="8"/>
      <c r="R16" s="8"/>
      <c r="S16" s="9"/>
    </row>
    <row r="17" spans="1:19">
      <c r="A17" s="63"/>
      <c r="B17" s="4" t="s">
        <v>44</v>
      </c>
      <c r="C17" s="16"/>
      <c r="D17" s="13"/>
      <c r="E17" s="13"/>
      <c r="F17" s="13"/>
      <c r="G17" s="14"/>
      <c r="H17" s="14"/>
      <c r="I17" s="15"/>
      <c r="J17" s="7" t="s">
        <v>4</v>
      </c>
      <c r="K17" s="32" t="str">
        <f t="shared" si="0"/>
        <v>string</v>
      </c>
      <c r="L17" s="32" t="str">
        <f t="shared" si="1"/>
        <v/>
      </c>
      <c r="M17" s="8"/>
      <c r="N17" s="8"/>
      <c r="O17" s="8"/>
      <c r="P17" s="8"/>
      <c r="Q17" s="8"/>
      <c r="R17" s="8"/>
      <c r="S17" s="9"/>
    </row>
    <row r="18" spans="1:19">
      <c r="A18" s="63"/>
      <c r="B18" s="4" t="s">
        <v>44</v>
      </c>
      <c r="C18" s="16"/>
      <c r="D18" s="13"/>
      <c r="E18" s="13"/>
      <c r="F18" s="13"/>
      <c r="G18" s="14"/>
      <c r="H18" s="14"/>
      <c r="I18" s="15"/>
      <c r="J18" s="7" t="s">
        <v>4</v>
      </c>
      <c r="K18" s="32" t="str">
        <f t="shared" si="0"/>
        <v>string</v>
      </c>
      <c r="L18" s="32" t="str">
        <f t="shared" si="1"/>
        <v/>
      </c>
      <c r="M18" s="8"/>
      <c r="N18" s="8"/>
      <c r="O18" s="8"/>
      <c r="P18" s="8"/>
      <c r="Q18" s="8"/>
      <c r="R18" s="8"/>
      <c r="S18" s="9"/>
    </row>
    <row r="19" spans="1:19">
      <c r="A19" s="63"/>
      <c r="B19" s="4" t="s">
        <v>44</v>
      </c>
      <c r="C19" s="16"/>
      <c r="D19" s="13"/>
      <c r="E19" s="13"/>
      <c r="F19" s="13"/>
      <c r="G19" s="14"/>
      <c r="H19" s="11"/>
      <c r="I19" s="15"/>
      <c r="J19" s="7" t="s">
        <v>4</v>
      </c>
      <c r="K19" s="32" t="str">
        <f t="shared" si="0"/>
        <v>string</v>
      </c>
      <c r="L19" s="32" t="str">
        <f t="shared" si="1"/>
        <v/>
      </c>
      <c r="M19" s="6"/>
      <c r="N19" s="8"/>
      <c r="O19" s="8"/>
      <c r="P19" s="8"/>
      <c r="Q19" s="8"/>
      <c r="R19" s="8"/>
      <c r="S19" s="9"/>
    </row>
    <row r="20" spans="1:19">
      <c r="A20" s="63"/>
      <c r="B20" s="4" t="s">
        <v>44</v>
      </c>
      <c r="C20" s="16"/>
      <c r="D20" s="13"/>
      <c r="E20" s="13"/>
      <c r="F20" s="13"/>
      <c r="G20" s="14"/>
      <c r="H20" s="14"/>
      <c r="I20" s="15"/>
      <c r="J20" s="7" t="s">
        <v>4</v>
      </c>
      <c r="K20" s="32" t="str">
        <f t="shared" si="0"/>
        <v>string</v>
      </c>
      <c r="L20" s="32" t="str">
        <f t="shared" si="1"/>
        <v/>
      </c>
      <c r="M20" s="6"/>
      <c r="N20" s="8"/>
      <c r="O20" s="8"/>
      <c r="P20" s="8"/>
      <c r="Q20" s="8"/>
      <c r="R20" s="8"/>
      <c r="S20" s="9"/>
    </row>
    <row r="21" spans="1:19">
      <c r="A21" s="63"/>
      <c r="B21" s="4" t="s">
        <v>44</v>
      </c>
      <c r="C21" s="16"/>
      <c r="D21" s="6"/>
      <c r="E21" s="6"/>
      <c r="F21" s="6"/>
      <c r="G21" s="7"/>
      <c r="H21" s="7"/>
      <c r="I21" s="8"/>
      <c r="J21" s="7" t="s">
        <v>4</v>
      </c>
      <c r="K21" s="32" t="str">
        <f t="shared" si="0"/>
        <v>string</v>
      </c>
      <c r="L21" s="32" t="str">
        <f t="shared" si="1"/>
        <v/>
      </c>
      <c r="M21" s="6"/>
      <c r="N21" s="8"/>
      <c r="O21" s="8"/>
      <c r="P21" s="8"/>
      <c r="Q21" s="8"/>
      <c r="R21" s="8"/>
      <c r="S21" s="9"/>
    </row>
    <row r="22" spans="1:19">
      <c r="A22" s="63"/>
      <c r="B22" s="4" t="s">
        <v>44</v>
      </c>
      <c r="C22" s="16"/>
      <c r="D22" s="6"/>
      <c r="E22" s="6"/>
      <c r="F22" s="6"/>
      <c r="G22" s="7"/>
      <c r="H22" s="7"/>
      <c r="I22" s="8"/>
      <c r="J22" s="7" t="s">
        <v>4</v>
      </c>
      <c r="K22" s="32" t="str">
        <f t="shared" si="0"/>
        <v>string</v>
      </c>
      <c r="L22" s="32" t="str">
        <f t="shared" si="1"/>
        <v/>
      </c>
      <c r="M22" s="8"/>
      <c r="N22" s="8"/>
      <c r="O22" s="8"/>
      <c r="P22" s="8"/>
      <c r="Q22" s="8"/>
      <c r="R22" s="8"/>
      <c r="S22" s="9"/>
    </row>
    <row r="23" spans="1:19">
      <c r="A23" s="63"/>
      <c r="B23" s="4" t="s">
        <v>44</v>
      </c>
      <c r="C23" s="16"/>
      <c r="D23" s="8"/>
      <c r="E23" s="8"/>
      <c r="F23" s="8"/>
      <c r="G23" s="7"/>
      <c r="H23" s="7"/>
      <c r="I23" s="8"/>
      <c r="J23" s="7" t="s">
        <v>4</v>
      </c>
      <c r="K23" s="32" t="str">
        <f t="shared" si="0"/>
        <v>string</v>
      </c>
      <c r="L23" s="32" t="str">
        <f t="shared" si="1"/>
        <v/>
      </c>
      <c r="M23" s="8"/>
      <c r="N23" s="8"/>
      <c r="O23" s="8"/>
      <c r="P23" s="8"/>
      <c r="Q23" s="8"/>
      <c r="R23" s="8"/>
      <c r="S23" s="9"/>
    </row>
    <row r="24" spans="1:19">
      <c r="A24" s="63"/>
      <c r="B24" s="4" t="s">
        <v>44</v>
      </c>
      <c r="C24" s="16"/>
      <c r="D24" s="8"/>
      <c r="E24" s="8"/>
      <c r="F24" s="8"/>
      <c r="G24" s="7"/>
      <c r="H24" s="7"/>
      <c r="I24" s="8"/>
      <c r="J24" s="7" t="s">
        <v>4</v>
      </c>
      <c r="K24" s="32" t="str">
        <f t="shared" si="0"/>
        <v>string</v>
      </c>
      <c r="L24" s="32" t="str">
        <f t="shared" si="1"/>
        <v/>
      </c>
      <c r="M24" s="8"/>
      <c r="N24" s="8"/>
      <c r="O24" s="8"/>
      <c r="P24" s="8"/>
      <c r="Q24" s="8"/>
      <c r="R24" s="8"/>
      <c r="S24" s="9"/>
    </row>
    <row r="25" spans="1:19">
      <c r="A25" s="63"/>
      <c r="B25" s="4" t="s">
        <v>44</v>
      </c>
      <c r="C25" s="16"/>
      <c r="D25" s="8"/>
      <c r="E25" s="8"/>
      <c r="F25" s="8"/>
      <c r="G25" s="7"/>
      <c r="H25" s="7"/>
      <c r="I25" s="8"/>
      <c r="J25" s="7" t="s">
        <v>4</v>
      </c>
      <c r="K25" s="32" t="str">
        <f t="shared" si="0"/>
        <v>string</v>
      </c>
      <c r="L25" s="32" t="str">
        <f t="shared" si="1"/>
        <v/>
      </c>
      <c r="M25" s="8"/>
      <c r="N25" s="8"/>
      <c r="O25" s="8"/>
      <c r="P25" s="8"/>
      <c r="Q25" s="8"/>
      <c r="R25" s="8"/>
      <c r="S25" s="9"/>
    </row>
    <row r="26" spans="1:19">
      <c r="A26" s="63"/>
      <c r="B26" s="4" t="s">
        <v>44</v>
      </c>
      <c r="C26" s="16"/>
      <c r="D26" s="8"/>
      <c r="E26" s="8"/>
      <c r="F26" s="8"/>
      <c r="G26" s="7"/>
      <c r="H26" s="7"/>
      <c r="I26" s="8"/>
      <c r="J26" s="7" t="s">
        <v>4</v>
      </c>
      <c r="K26" s="32" t="str">
        <f t="shared" si="0"/>
        <v>string</v>
      </c>
      <c r="L26" s="32" t="str">
        <f t="shared" si="1"/>
        <v/>
      </c>
      <c r="M26" s="8"/>
      <c r="N26" s="8"/>
      <c r="O26" s="8"/>
      <c r="P26" s="8"/>
      <c r="Q26" s="8"/>
      <c r="R26" s="8"/>
      <c r="S26" s="9"/>
    </row>
    <row r="27" spans="1:19">
      <c r="A27" s="63"/>
      <c r="B27" s="4" t="s">
        <v>44</v>
      </c>
      <c r="C27" s="16"/>
      <c r="D27" s="8"/>
      <c r="E27" s="8"/>
      <c r="F27" s="8"/>
      <c r="G27" s="7"/>
      <c r="H27" s="7"/>
      <c r="I27" s="8"/>
      <c r="J27" s="7" t="s">
        <v>4</v>
      </c>
      <c r="K27" s="32" t="str">
        <f t="shared" si="0"/>
        <v>string</v>
      </c>
      <c r="L27" s="32" t="str">
        <f t="shared" si="1"/>
        <v/>
      </c>
      <c r="M27" s="8"/>
      <c r="N27" s="8"/>
      <c r="O27" s="8"/>
      <c r="P27" s="8"/>
      <c r="Q27" s="8"/>
      <c r="R27" s="8"/>
      <c r="S27" s="9"/>
    </row>
    <row r="28" spans="1:19">
      <c r="A28" s="63"/>
      <c r="B28" s="4" t="s">
        <v>44</v>
      </c>
      <c r="C28" s="16"/>
      <c r="D28" s="8"/>
      <c r="E28" s="8"/>
      <c r="F28" s="8"/>
      <c r="G28" s="7"/>
      <c r="H28" s="7"/>
      <c r="I28" s="8"/>
      <c r="J28" s="7" t="s">
        <v>4</v>
      </c>
      <c r="K28" s="32" t="str">
        <f t="shared" si="0"/>
        <v>string</v>
      </c>
      <c r="L28" s="32" t="str">
        <f t="shared" si="1"/>
        <v/>
      </c>
      <c r="M28" s="8"/>
      <c r="N28" s="8"/>
      <c r="O28" s="8"/>
      <c r="P28" s="8"/>
      <c r="Q28" s="8"/>
      <c r="R28" s="8"/>
      <c r="S28" s="9"/>
    </row>
    <row r="29" spans="1:19">
      <c r="A29" s="63"/>
      <c r="B29" s="4" t="s">
        <v>44</v>
      </c>
      <c r="C29" s="16"/>
      <c r="D29" s="8"/>
      <c r="E29" s="8"/>
      <c r="F29" s="8"/>
      <c r="G29" s="7"/>
      <c r="H29" s="7"/>
      <c r="I29" s="8"/>
      <c r="J29" s="7" t="s">
        <v>4</v>
      </c>
      <c r="K29" s="32" t="str">
        <f t="shared" si="0"/>
        <v>string</v>
      </c>
      <c r="L29" s="32" t="str">
        <f t="shared" si="1"/>
        <v/>
      </c>
      <c r="M29" s="8"/>
      <c r="N29" s="8"/>
      <c r="O29" s="8"/>
      <c r="P29" s="8"/>
      <c r="Q29" s="8"/>
      <c r="R29" s="8"/>
      <c r="S29" s="9"/>
    </row>
    <row r="30" spans="1:19">
      <c r="A30" s="63"/>
      <c r="B30" s="4" t="s">
        <v>44</v>
      </c>
      <c r="C30" s="16"/>
      <c r="D30" s="8"/>
      <c r="E30" s="8"/>
      <c r="F30" s="8"/>
      <c r="G30" s="7"/>
      <c r="H30" s="7"/>
      <c r="I30" s="8"/>
      <c r="J30" s="7" t="s">
        <v>4</v>
      </c>
      <c r="K30" s="32" t="str">
        <f t="shared" si="0"/>
        <v>string</v>
      </c>
      <c r="L30" s="32" t="str">
        <f t="shared" si="1"/>
        <v/>
      </c>
      <c r="M30" s="8"/>
      <c r="N30" s="8"/>
      <c r="O30" s="8"/>
      <c r="P30" s="8"/>
      <c r="Q30" s="8"/>
      <c r="R30" s="8"/>
      <c r="S30" s="9"/>
    </row>
    <row r="31" spans="1:19">
      <c r="A31" s="63"/>
      <c r="B31" s="4" t="s">
        <v>44</v>
      </c>
      <c r="C31" s="16"/>
      <c r="D31" s="8"/>
      <c r="E31" s="8"/>
      <c r="F31" s="8"/>
      <c r="G31" s="7"/>
      <c r="H31" s="7"/>
      <c r="I31" s="8"/>
      <c r="J31" s="7" t="s">
        <v>4</v>
      </c>
      <c r="K31" s="32" t="str">
        <f t="shared" si="0"/>
        <v>string</v>
      </c>
      <c r="L31" s="32" t="str">
        <f t="shared" si="1"/>
        <v/>
      </c>
      <c r="M31" s="8"/>
      <c r="N31" s="8"/>
      <c r="O31" s="8"/>
      <c r="P31" s="8"/>
      <c r="Q31" s="8"/>
      <c r="R31" s="8"/>
      <c r="S31" s="9"/>
    </row>
    <row r="32" spans="1:19">
      <c r="A32" s="63"/>
      <c r="B32" s="4" t="s">
        <v>44</v>
      </c>
      <c r="C32" s="16"/>
      <c r="D32" s="8"/>
      <c r="E32" s="8"/>
      <c r="F32" s="8"/>
      <c r="G32" s="7"/>
      <c r="H32" s="7"/>
      <c r="I32" s="8"/>
      <c r="J32" s="7" t="s">
        <v>4</v>
      </c>
      <c r="K32" s="32" t="str">
        <f t="shared" si="0"/>
        <v>string</v>
      </c>
      <c r="L32" s="32" t="str">
        <f t="shared" si="1"/>
        <v/>
      </c>
      <c r="M32" s="8"/>
      <c r="N32" s="8"/>
      <c r="O32" s="8"/>
      <c r="P32" s="8"/>
      <c r="Q32" s="8"/>
      <c r="R32" s="8"/>
      <c r="S32" s="9"/>
    </row>
    <row r="33" spans="1:19">
      <c r="A33" s="63"/>
      <c r="B33" s="4" t="s">
        <v>44</v>
      </c>
      <c r="C33" s="16"/>
      <c r="D33" s="8"/>
      <c r="E33" s="8"/>
      <c r="F33" s="8"/>
      <c r="G33" s="7"/>
      <c r="H33" s="7"/>
      <c r="I33" s="8"/>
      <c r="J33" s="7" t="s">
        <v>4</v>
      </c>
      <c r="K33" s="32" t="str">
        <f t="shared" si="0"/>
        <v>string</v>
      </c>
      <c r="L33" s="32" t="str">
        <f t="shared" si="1"/>
        <v/>
      </c>
      <c r="M33" s="8"/>
      <c r="N33" s="8"/>
      <c r="O33" s="8"/>
      <c r="P33" s="8"/>
      <c r="Q33" s="8"/>
      <c r="R33" s="8"/>
      <c r="S33" s="9"/>
    </row>
    <row r="34" spans="1:19">
      <c r="A34" s="63"/>
      <c r="B34" s="4" t="s">
        <v>44</v>
      </c>
      <c r="C34" s="16"/>
      <c r="D34" s="8"/>
      <c r="E34" s="8"/>
      <c r="F34" s="8"/>
      <c r="G34" s="7"/>
      <c r="H34" s="7"/>
      <c r="I34" s="8"/>
      <c r="J34" s="7" t="s">
        <v>4</v>
      </c>
      <c r="K34" s="32" t="str">
        <f t="shared" si="0"/>
        <v>string</v>
      </c>
      <c r="L34" s="32" t="str">
        <f t="shared" si="1"/>
        <v/>
      </c>
      <c r="M34" s="8"/>
      <c r="N34" s="8"/>
      <c r="O34" s="8"/>
      <c r="P34" s="8"/>
      <c r="Q34" s="8"/>
      <c r="R34" s="8"/>
      <c r="S34" s="9"/>
    </row>
    <row r="35" spans="1:19">
      <c r="A35" s="63"/>
      <c r="B35" s="4" t="s">
        <v>44</v>
      </c>
      <c r="C35" s="16"/>
      <c r="D35" s="8"/>
      <c r="E35" s="8"/>
      <c r="F35" s="8"/>
      <c r="G35" s="7"/>
      <c r="H35" s="7"/>
      <c r="I35" s="8"/>
      <c r="J35" s="7" t="s">
        <v>4</v>
      </c>
      <c r="K35" s="32" t="str">
        <f t="shared" si="0"/>
        <v>string</v>
      </c>
      <c r="L35" s="32" t="str">
        <f t="shared" si="1"/>
        <v/>
      </c>
      <c r="M35" s="8"/>
      <c r="N35" s="8"/>
      <c r="O35" s="8"/>
      <c r="P35" s="8"/>
      <c r="Q35" s="8"/>
      <c r="R35" s="8"/>
      <c r="S35" s="9"/>
    </row>
    <row r="36" spans="1:19">
      <c r="A36" s="63"/>
      <c r="B36" s="4" t="s">
        <v>44</v>
      </c>
      <c r="C36" s="16"/>
      <c r="D36" s="8"/>
      <c r="E36" s="8"/>
      <c r="F36" s="8"/>
      <c r="G36" s="7"/>
      <c r="H36" s="7"/>
      <c r="I36" s="8"/>
      <c r="J36" s="7" t="s">
        <v>4</v>
      </c>
      <c r="K36" s="32" t="str">
        <f t="shared" si="0"/>
        <v>string</v>
      </c>
      <c r="L36" s="32" t="str">
        <f t="shared" si="1"/>
        <v/>
      </c>
      <c r="M36" s="8"/>
      <c r="N36" s="8"/>
      <c r="O36" s="8"/>
      <c r="P36" s="8"/>
      <c r="Q36" s="8"/>
      <c r="R36" s="8"/>
      <c r="S36" s="9"/>
    </row>
    <row r="37" spans="1:19">
      <c r="A37" s="63"/>
      <c r="B37" s="4" t="s">
        <v>44</v>
      </c>
      <c r="C37" s="16"/>
      <c r="D37" s="8"/>
      <c r="E37" s="8"/>
      <c r="F37" s="8"/>
      <c r="G37" s="7"/>
      <c r="H37" s="7"/>
      <c r="I37" s="8"/>
      <c r="J37" s="7" t="s">
        <v>4</v>
      </c>
      <c r="K37" s="32" t="str">
        <f t="shared" si="0"/>
        <v>string</v>
      </c>
      <c r="L37" s="32" t="str">
        <f t="shared" si="1"/>
        <v/>
      </c>
      <c r="M37" s="8"/>
      <c r="N37" s="8"/>
      <c r="O37" s="8"/>
      <c r="P37" s="8"/>
      <c r="Q37" s="8"/>
      <c r="R37" s="8"/>
      <c r="S37" s="9"/>
    </row>
    <row r="38" spans="1:19">
      <c r="A38" s="63"/>
      <c r="B38" s="4" t="s">
        <v>44</v>
      </c>
      <c r="C38" s="16"/>
      <c r="D38" s="8"/>
      <c r="E38" s="8"/>
      <c r="F38" s="8"/>
      <c r="G38" s="7"/>
      <c r="H38" s="7"/>
      <c r="I38" s="8"/>
      <c r="J38" s="7" t="s">
        <v>4</v>
      </c>
      <c r="K38" s="32" t="str">
        <f t="shared" si="0"/>
        <v>string</v>
      </c>
      <c r="L38" s="32" t="str">
        <f t="shared" si="1"/>
        <v/>
      </c>
      <c r="M38" s="8"/>
      <c r="N38" s="8"/>
      <c r="O38" s="8"/>
      <c r="P38" s="8"/>
      <c r="Q38" s="8"/>
      <c r="R38" s="8"/>
      <c r="S38" s="9"/>
    </row>
    <row r="39" spans="1:19">
      <c r="A39" s="63"/>
      <c r="B39" s="4" t="s">
        <v>44</v>
      </c>
      <c r="C39" s="16"/>
      <c r="D39" s="8"/>
      <c r="E39" s="8"/>
      <c r="F39" s="8"/>
      <c r="G39" s="7"/>
      <c r="H39" s="7"/>
      <c r="I39" s="8"/>
      <c r="J39" s="7" t="s">
        <v>4</v>
      </c>
      <c r="K39" s="32" t="str">
        <f t="shared" si="0"/>
        <v>string</v>
      </c>
      <c r="L39" s="32" t="str">
        <f t="shared" si="1"/>
        <v/>
      </c>
      <c r="M39" s="8"/>
      <c r="N39" s="8"/>
      <c r="O39" s="8"/>
      <c r="P39" s="8"/>
      <c r="Q39" s="8"/>
      <c r="R39" s="8"/>
      <c r="S39" s="9"/>
    </row>
    <row r="40" spans="1:19">
      <c r="A40" s="63"/>
      <c r="B40" s="4" t="s">
        <v>44</v>
      </c>
      <c r="C40" s="16"/>
      <c r="D40" s="8"/>
      <c r="E40" s="8"/>
      <c r="F40" s="8"/>
      <c r="G40" s="7"/>
      <c r="H40" s="7"/>
      <c r="I40" s="8"/>
      <c r="J40" s="7" t="s">
        <v>4</v>
      </c>
      <c r="K40" s="32" t="str">
        <f t="shared" si="0"/>
        <v>string</v>
      </c>
      <c r="L40" s="32" t="str">
        <f t="shared" si="1"/>
        <v/>
      </c>
      <c r="M40" s="8"/>
      <c r="N40" s="8"/>
      <c r="O40" s="8"/>
      <c r="P40" s="8"/>
      <c r="Q40" s="8"/>
      <c r="R40" s="8"/>
      <c r="S40" s="9"/>
    </row>
    <row r="41" spans="1:19">
      <c r="A41" s="63"/>
      <c r="B41" s="4" t="s">
        <v>44</v>
      </c>
      <c r="C41" s="16"/>
      <c r="D41" s="8"/>
      <c r="E41" s="8"/>
      <c r="F41" s="8"/>
      <c r="G41" s="7"/>
      <c r="H41" s="7"/>
      <c r="I41" s="8"/>
      <c r="J41" s="7" t="s">
        <v>4</v>
      </c>
      <c r="K41" s="32" t="str">
        <f t="shared" si="0"/>
        <v>string</v>
      </c>
      <c r="L41" s="32" t="str">
        <f t="shared" si="1"/>
        <v/>
      </c>
      <c r="M41" s="8"/>
      <c r="N41" s="8"/>
      <c r="O41" s="8"/>
      <c r="P41" s="8"/>
      <c r="Q41" s="8"/>
      <c r="R41" s="8"/>
      <c r="S41" s="9"/>
    </row>
    <row r="42" spans="1:19">
      <c r="A42" s="63"/>
      <c r="B42" s="4" t="s">
        <v>44</v>
      </c>
      <c r="C42" s="16"/>
      <c r="D42" s="8"/>
      <c r="E42" s="8"/>
      <c r="F42" s="8"/>
      <c r="G42" s="7"/>
      <c r="H42" s="7"/>
      <c r="I42" s="8"/>
      <c r="J42" s="7" t="s">
        <v>4</v>
      </c>
      <c r="K42" s="32" t="str">
        <f t="shared" si="0"/>
        <v>string</v>
      </c>
      <c r="L42" s="32" t="str">
        <f t="shared" si="1"/>
        <v/>
      </c>
      <c r="M42" s="8"/>
      <c r="N42" s="8"/>
      <c r="O42" s="8"/>
      <c r="P42" s="8"/>
      <c r="Q42" s="8"/>
      <c r="R42" s="8"/>
      <c r="S42" s="9"/>
    </row>
    <row r="43" spans="1:19">
      <c r="A43" s="64"/>
      <c r="B43" s="4" t="s">
        <v>44</v>
      </c>
      <c r="C43" s="16"/>
      <c r="D43" s="8"/>
      <c r="E43" s="8"/>
      <c r="F43" s="8"/>
      <c r="G43" s="7"/>
      <c r="H43" s="7"/>
      <c r="I43" s="8"/>
      <c r="J43" s="7" t="s">
        <v>4</v>
      </c>
      <c r="K43" s="32" t="str">
        <f t="shared" si="0"/>
        <v>string</v>
      </c>
      <c r="L43" s="32" t="str">
        <f t="shared" si="1"/>
        <v/>
      </c>
      <c r="M43" s="8"/>
      <c r="N43" s="8"/>
      <c r="O43" s="8"/>
      <c r="P43" s="8"/>
      <c r="Q43" s="8"/>
      <c r="R43" s="8"/>
      <c r="S43" s="9"/>
    </row>
    <row r="44" spans="1:19">
      <c r="B44" s="36"/>
    </row>
  </sheetData>
  <mergeCells count="1">
    <mergeCell ref="A3:A43"/>
  </mergeCells>
  <phoneticPr fontId="2"/>
  <conditionalFormatting sqref="B1:B1048576">
    <cfRule type="cellIs" dxfId="26" priority="2" operator="equal">
      <formula>"OFF"</formula>
    </cfRule>
    <cfRule type="cellIs" dxfId="25" priority="3" operator="equal">
      <formula>"ON"</formula>
    </cfRule>
  </conditionalFormatting>
  <conditionalFormatting sqref="C1:C1048576 G1:H1048576 J1:J1048576">
    <cfRule type="expression" dxfId="24" priority="1">
      <formula>AND($B1="ON",ISBLANK(C1))</formula>
    </cfRule>
  </conditionalFormatting>
  <dataValidations count="4">
    <dataValidation type="list" allowBlank="1" showInputMessage="1" showErrorMessage="1" sqref="B3:B43" xr:uid="{C77DE921-00C9-402E-B063-7FE813E1C579}">
      <formula1>"ON,OFF"</formula1>
    </dataValidation>
    <dataValidation type="list" allowBlank="1" showInputMessage="1" showErrorMessage="1" sqref="Q4:Q43" xr:uid="{973D0976-273D-4B1E-AD82-53B3E7F58099}">
      <formula1>"　,TRUE"</formula1>
    </dataValidation>
    <dataValidation type="list" allowBlank="1" showInputMessage="1" showErrorMessage="1" sqref="J3:J43" xr:uid="{F66D9B8F-0C24-F54E-9BF3-1AD33ABAE2C3}">
      <formula1>"string,datetime,duration,integer,number,array,boolean"</formula1>
    </dataValidation>
    <dataValidation type="list" allowBlank="1" showInputMessage="1" showErrorMessage="1" sqref="Q3" xr:uid="{68A906CA-BEA6-CF48-BCC2-D29DE039D5E6}">
      <formula1>"　,1"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42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D7" sqref="D7:D17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20" t="s">
        <v>8</v>
      </c>
      <c r="B1" s="53" t="s">
        <v>9</v>
      </c>
      <c r="C1" s="54"/>
      <c r="D1" s="54"/>
      <c r="E1" s="55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9">
      <c r="A2" s="20" t="s">
        <v>10</v>
      </c>
      <c r="B2" s="59" t="str">
        <f>"https://rde.nims.go.jp/rde/dataset-templates/"&amp;説明!B3&amp;"/invoice.schema.json"</f>
        <v>https://rde.nims.go.jp/rde/dataset-templates/sample/invoice.schema.json</v>
      </c>
      <c r="C2" s="60"/>
      <c r="D2" s="60"/>
      <c r="E2" s="61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</row>
    <row r="3" spans="1:29">
      <c r="A3" s="20" t="s">
        <v>11</v>
      </c>
      <c r="B3" s="56" t="str">
        <f>説明!B4&amp;": 送状定義"</f>
        <v>: 送状定義</v>
      </c>
      <c r="C3" s="57"/>
      <c r="D3" s="57"/>
      <c r="E3" s="5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</row>
    <row r="4" spans="1:29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</row>
    <row r="5" spans="1:29">
      <c r="A5" s="2" t="s">
        <v>80</v>
      </c>
      <c r="B5" s="2" t="s">
        <v>31</v>
      </c>
      <c r="C5" s="2" t="s">
        <v>43</v>
      </c>
      <c r="D5" s="2" t="s">
        <v>25</v>
      </c>
      <c r="E5" s="2" t="s">
        <v>42</v>
      </c>
      <c r="F5" s="2" t="s">
        <v>13</v>
      </c>
      <c r="G5" s="2" t="s">
        <v>14</v>
      </c>
      <c r="H5" s="2" t="s">
        <v>11</v>
      </c>
      <c r="I5" s="2" t="s">
        <v>17</v>
      </c>
      <c r="J5" s="2" t="s">
        <v>20</v>
      </c>
      <c r="K5" s="2" t="s">
        <v>26</v>
      </c>
      <c r="L5" s="2" t="s">
        <v>15</v>
      </c>
      <c r="M5" s="2" t="s">
        <v>1393</v>
      </c>
      <c r="N5" s="2" t="s">
        <v>1</v>
      </c>
      <c r="O5" s="2" t="s">
        <v>27</v>
      </c>
      <c r="P5" s="2" t="s">
        <v>18</v>
      </c>
      <c r="Q5" s="2" t="s">
        <v>19</v>
      </c>
      <c r="R5" s="2" t="s">
        <v>57</v>
      </c>
      <c r="S5" s="2" t="s">
        <v>12</v>
      </c>
      <c r="T5" s="2" t="s">
        <v>84</v>
      </c>
      <c r="U5" s="2" t="s">
        <v>21</v>
      </c>
      <c r="V5" s="2" t="s">
        <v>22</v>
      </c>
      <c r="W5" s="2" t="s">
        <v>58</v>
      </c>
      <c r="X5" s="2" t="s">
        <v>59</v>
      </c>
      <c r="Y5" s="2" t="s">
        <v>60</v>
      </c>
      <c r="Z5" s="2" t="s">
        <v>61</v>
      </c>
      <c r="AA5" s="2" t="s">
        <v>62</v>
      </c>
      <c r="AB5" s="2" t="s">
        <v>63</v>
      </c>
      <c r="AC5" s="2" t="s">
        <v>64</v>
      </c>
    </row>
    <row r="6" spans="1:29" ht="31.5" customHeight="1">
      <c r="A6" s="2" t="s">
        <v>81</v>
      </c>
      <c r="B6" s="2" t="s">
        <v>32</v>
      </c>
      <c r="C6" s="3" t="s">
        <v>1397</v>
      </c>
      <c r="D6" s="3" t="s">
        <v>1401</v>
      </c>
      <c r="E6" s="3" t="s">
        <v>1400</v>
      </c>
      <c r="F6" s="3" t="s">
        <v>48</v>
      </c>
      <c r="G6" s="3" t="s">
        <v>49</v>
      </c>
      <c r="H6" s="3" t="s">
        <v>51</v>
      </c>
      <c r="I6" s="3" t="s">
        <v>67</v>
      </c>
      <c r="J6" s="3" t="s">
        <v>50</v>
      </c>
      <c r="K6" s="3" t="s">
        <v>46</v>
      </c>
      <c r="L6" s="3" t="s">
        <v>65</v>
      </c>
      <c r="M6" s="3" t="s">
        <v>1396</v>
      </c>
      <c r="N6" s="3" t="s">
        <v>1398</v>
      </c>
      <c r="O6" s="3" t="s">
        <v>1395</v>
      </c>
      <c r="P6" s="3" t="s">
        <v>1399</v>
      </c>
      <c r="Q6" s="3" t="s">
        <v>66</v>
      </c>
      <c r="R6" s="3" t="s">
        <v>78</v>
      </c>
      <c r="S6" s="3" t="s">
        <v>68</v>
      </c>
      <c r="T6" s="3" t="s">
        <v>85</v>
      </c>
      <c r="U6" s="3" t="s">
        <v>69</v>
      </c>
      <c r="V6" s="3" t="s">
        <v>70</v>
      </c>
      <c r="W6" s="3" t="s">
        <v>71</v>
      </c>
      <c r="X6" s="3" t="s">
        <v>72</v>
      </c>
      <c r="Y6" s="3" t="s">
        <v>73</v>
      </c>
      <c r="Z6" s="3" t="s">
        <v>74</v>
      </c>
      <c r="AA6" s="3" t="s">
        <v>75</v>
      </c>
      <c r="AB6" s="3" t="s">
        <v>76</v>
      </c>
      <c r="AC6" s="3" t="s">
        <v>77</v>
      </c>
    </row>
    <row r="7" spans="1:29">
      <c r="A7" s="49" t="s">
        <v>5</v>
      </c>
      <c r="B7" s="49" t="s">
        <v>33</v>
      </c>
      <c r="C7" s="4" t="s">
        <v>44</v>
      </c>
      <c r="D7" s="22"/>
      <c r="E7" s="28"/>
      <c r="F7" s="22"/>
      <c r="G7" s="22"/>
      <c r="H7" s="19"/>
      <c r="I7" s="19"/>
      <c r="J7" s="19"/>
      <c r="K7" s="23"/>
      <c r="L7" s="8"/>
      <c r="M7" s="7" t="s">
        <v>4</v>
      </c>
      <c r="N7" s="38" t="str">
        <f>_xlfn.IFS(M7="integer","integer",M7="number","number",M7="boolean","boolean",TRUE,"string")</f>
        <v>string</v>
      </c>
      <c r="O7" s="38" t="str">
        <f>_xlfn.IFS(M7="date","date",M7="markdown","markdown",M7="time", "time",M7="uri","uri",M7="uuid","uuid",TRUE,"")</f>
        <v/>
      </c>
      <c r="P7" s="38" t="str">
        <f>_xlfn.IFS(M7="textarea","textarea",TRUE,"")</f>
        <v/>
      </c>
      <c r="Q7" s="28"/>
      <c r="R7" s="28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>
      <c r="A8" s="49"/>
      <c r="B8" s="49"/>
      <c r="C8" s="4" t="s">
        <v>44</v>
      </c>
      <c r="D8" s="22"/>
      <c r="E8" s="28"/>
      <c r="F8" s="22"/>
      <c r="G8" s="22"/>
      <c r="H8" s="19"/>
      <c r="I8" s="19"/>
      <c r="J8" s="19"/>
      <c r="K8" s="23"/>
      <c r="L8" s="8"/>
      <c r="M8" s="7" t="s">
        <v>4</v>
      </c>
      <c r="N8" s="38" t="str">
        <f t="shared" ref="N8:N17" si="0">_xlfn.IFS(M8="integer","integer",M8="number","number",M8="boolean","boolean",TRUE,"string")</f>
        <v>string</v>
      </c>
      <c r="O8" s="38" t="str">
        <f t="shared" ref="O8:O17" si="1">_xlfn.IFS(M8="date","date",M8="markdown","markdown",M8="time", "time",M8="uri","uri",M8="uuid","uuid",TRUE,"")</f>
        <v/>
      </c>
      <c r="P8" s="38" t="str">
        <f t="shared" ref="P8:P17" si="2">_xlfn.IFS(M8="textarea","textarea",TRUE,"")</f>
        <v/>
      </c>
      <c r="Q8" s="28"/>
      <c r="R8" s="28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>
      <c r="A9" s="49"/>
      <c r="B9" s="49"/>
      <c r="C9" s="4" t="s">
        <v>44</v>
      </c>
      <c r="D9" s="22"/>
      <c r="E9" s="28"/>
      <c r="F9" s="22"/>
      <c r="G9" s="22"/>
      <c r="H9" s="19"/>
      <c r="I9" s="19"/>
      <c r="J9" s="19"/>
      <c r="K9" s="23"/>
      <c r="L9" s="8"/>
      <c r="M9" s="7" t="s">
        <v>4</v>
      </c>
      <c r="N9" s="38" t="str">
        <f t="shared" si="0"/>
        <v>string</v>
      </c>
      <c r="O9" s="38" t="str">
        <f t="shared" si="1"/>
        <v/>
      </c>
      <c r="P9" s="38" t="str">
        <f t="shared" si="2"/>
        <v/>
      </c>
      <c r="Q9" s="28"/>
      <c r="R9" s="28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>
      <c r="A10" s="49"/>
      <c r="B10" s="49"/>
      <c r="C10" s="4" t="s">
        <v>44</v>
      </c>
      <c r="D10" s="22"/>
      <c r="E10" s="28"/>
      <c r="F10" s="22"/>
      <c r="G10" s="22"/>
      <c r="H10" s="19"/>
      <c r="I10" s="19"/>
      <c r="J10" s="19"/>
      <c r="K10" s="23"/>
      <c r="L10" s="8"/>
      <c r="M10" s="7" t="s">
        <v>4</v>
      </c>
      <c r="N10" s="38" t="str">
        <f t="shared" si="0"/>
        <v>string</v>
      </c>
      <c r="O10" s="38" t="str">
        <f t="shared" si="1"/>
        <v/>
      </c>
      <c r="P10" s="38" t="str">
        <f t="shared" si="2"/>
        <v/>
      </c>
      <c r="Q10" s="28"/>
      <c r="R10" s="28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>
      <c r="A11" s="49"/>
      <c r="B11" s="49"/>
      <c r="C11" s="4" t="s">
        <v>44</v>
      </c>
      <c r="D11" s="22"/>
      <c r="E11" s="28"/>
      <c r="F11" s="22"/>
      <c r="G11" s="22"/>
      <c r="H11" s="19"/>
      <c r="I11" s="19"/>
      <c r="J11" s="19"/>
      <c r="K11" s="23"/>
      <c r="L11" s="8"/>
      <c r="M11" s="7" t="s">
        <v>4</v>
      </c>
      <c r="N11" s="38" t="str">
        <f t="shared" si="0"/>
        <v>string</v>
      </c>
      <c r="O11" s="38" t="str">
        <f t="shared" si="1"/>
        <v/>
      </c>
      <c r="P11" s="38" t="str">
        <f t="shared" si="2"/>
        <v/>
      </c>
      <c r="Q11" s="28"/>
      <c r="R11" s="28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>
      <c r="A12" s="49"/>
      <c r="B12" s="49"/>
      <c r="C12" s="4" t="s">
        <v>44</v>
      </c>
      <c r="D12" s="22"/>
      <c r="E12" s="28"/>
      <c r="F12" s="22"/>
      <c r="G12" s="22"/>
      <c r="H12" s="19"/>
      <c r="I12" s="19"/>
      <c r="J12" s="19"/>
      <c r="K12" s="23"/>
      <c r="L12" s="8"/>
      <c r="M12" s="7" t="s">
        <v>4</v>
      </c>
      <c r="N12" s="38" t="str">
        <f t="shared" si="0"/>
        <v>string</v>
      </c>
      <c r="O12" s="38" t="str">
        <f t="shared" si="1"/>
        <v/>
      </c>
      <c r="P12" s="38" t="str">
        <f t="shared" si="2"/>
        <v/>
      </c>
      <c r="Q12" s="28"/>
      <c r="R12" s="28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>
      <c r="A13" s="49"/>
      <c r="B13" s="49"/>
      <c r="C13" s="4" t="s">
        <v>44</v>
      </c>
      <c r="D13" s="22"/>
      <c r="E13" s="28"/>
      <c r="F13" s="22"/>
      <c r="G13" s="22"/>
      <c r="H13" s="19"/>
      <c r="I13" s="19"/>
      <c r="J13" s="19"/>
      <c r="K13" s="23"/>
      <c r="L13" s="8"/>
      <c r="M13" s="7" t="s">
        <v>4</v>
      </c>
      <c r="N13" s="38" t="str">
        <f t="shared" si="0"/>
        <v>string</v>
      </c>
      <c r="O13" s="38" t="str">
        <f t="shared" si="1"/>
        <v/>
      </c>
      <c r="P13" s="38" t="str">
        <f t="shared" si="2"/>
        <v/>
      </c>
      <c r="Q13" s="28"/>
      <c r="R13" s="28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>
      <c r="A14" s="49"/>
      <c r="B14" s="49"/>
      <c r="C14" s="4" t="s">
        <v>44</v>
      </c>
      <c r="D14" s="22"/>
      <c r="E14" s="28"/>
      <c r="F14" s="22"/>
      <c r="G14" s="22"/>
      <c r="H14" s="24"/>
      <c r="I14" s="19"/>
      <c r="J14" s="19"/>
      <c r="K14" s="23"/>
      <c r="L14" s="8"/>
      <c r="M14" s="7" t="s">
        <v>4</v>
      </c>
      <c r="N14" s="38" t="str">
        <f t="shared" si="0"/>
        <v>string</v>
      </c>
      <c r="O14" s="38" t="str">
        <f t="shared" si="1"/>
        <v/>
      </c>
      <c r="P14" s="38" t="str">
        <f t="shared" si="2"/>
        <v/>
      </c>
      <c r="Q14" s="28"/>
      <c r="R14" s="28"/>
      <c r="S14" s="19"/>
      <c r="T14" s="19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49"/>
      <c r="B15" s="49"/>
      <c r="C15" s="4" t="s">
        <v>44</v>
      </c>
      <c r="D15" s="22"/>
      <c r="E15" s="28"/>
      <c r="F15" s="22"/>
      <c r="G15" s="22"/>
      <c r="H15" s="24"/>
      <c r="I15" s="19"/>
      <c r="J15" s="19"/>
      <c r="K15" s="23"/>
      <c r="L15" s="8"/>
      <c r="M15" s="7" t="s">
        <v>4</v>
      </c>
      <c r="N15" s="38" t="str">
        <f t="shared" si="0"/>
        <v>string</v>
      </c>
      <c r="O15" s="38" t="str">
        <f t="shared" si="1"/>
        <v/>
      </c>
      <c r="P15" s="38" t="str">
        <f t="shared" si="2"/>
        <v/>
      </c>
      <c r="Q15" s="28"/>
      <c r="R15" s="28"/>
      <c r="S15" s="19"/>
      <c r="T15" s="19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49"/>
      <c r="B16" s="49"/>
      <c r="C16" s="4" t="s">
        <v>44</v>
      </c>
      <c r="D16" s="22"/>
      <c r="E16" s="28"/>
      <c r="F16" s="22"/>
      <c r="G16" s="22"/>
      <c r="H16" s="24"/>
      <c r="I16" s="19"/>
      <c r="J16" s="19"/>
      <c r="K16" s="23"/>
      <c r="L16" s="8"/>
      <c r="M16" s="7" t="s">
        <v>4</v>
      </c>
      <c r="N16" s="38" t="str">
        <f t="shared" si="0"/>
        <v>string</v>
      </c>
      <c r="O16" s="38" t="str">
        <f t="shared" si="1"/>
        <v/>
      </c>
      <c r="P16" s="38" t="str">
        <f t="shared" si="2"/>
        <v/>
      </c>
      <c r="Q16" s="28"/>
      <c r="R16" s="28"/>
      <c r="S16" s="19"/>
      <c r="T16" s="19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49"/>
      <c r="B17" s="49"/>
      <c r="C17" s="4" t="s">
        <v>44</v>
      </c>
      <c r="D17" s="25"/>
      <c r="E17" s="28"/>
      <c r="F17" s="25"/>
      <c r="G17" s="25"/>
      <c r="H17" s="24"/>
      <c r="I17" s="19"/>
      <c r="J17" s="19"/>
      <c r="K17" s="23"/>
      <c r="L17" s="8"/>
      <c r="M17" s="7" t="s">
        <v>4</v>
      </c>
      <c r="N17" s="38" t="str">
        <f t="shared" si="0"/>
        <v>string</v>
      </c>
      <c r="O17" s="38" t="str">
        <f t="shared" si="1"/>
        <v/>
      </c>
      <c r="P17" s="38" t="str">
        <f t="shared" si="2"/>
        <v/>
      </c>
      <c r="Q17" s="28"/>
      <c r="R17" s="28"/>
      <c r="S17" s="19"/>
      <c r="T17" s="19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50" t="s">
        <v>1379</v>
      </c>
      <c r="B18" s="49" t="s">
        <v>79</v>
      </c>
      <c r="C18" s="4" t="s">
        <v>1402</v>
      </c>
      <c r="D18" s="22" t="s">
        <v>34</v>
      </c>
      <c r="E18" s="28"/>
      <c r="F18" s="22" t="s">
        <v>1430</v>
      </c>
      <c r="G18" s="22" t="s">
        <v>1431</v>
      </c>
      <c r="H18" s="19"/>
      <c r="I18" s="19"/>
      <c r="J18" s="28"/>
      <c r="K18" s="23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29">
      <c r="A19" s="51"/>
      <c r="B19" s="49"/>
      <c r="C19" s="4" t="s">
        <v>44</v>
      </c>
      <c r="D19" s="22" t="s">
        <v>35</v>
      </c>
      <c r="E19" s="28"/>
      <c r="F19" s="22" t="s">
        <v>1432</v>
      </c>
      <c r="G19" s="22" t="s">
        <v>1433</v>
      </c>
      <c r="H19" s="19"/>
      <c r="I19" s="19"/>
      <c r="J19" s="28"/>
      <c r="K19" s="26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29">
      <c r="A20" s="51"/>
      <c r="B20" s="49"/>
      <c r="C20" s="4" t="s">
        <v>44</v>
      </c>
      <c r="D20" s="22" t="s">
        <v>36</v>
      </c>
      <c r="E20" s="28"/>
      <c r="F20" s="22" t="s">
        <v>1434</v>
      </c>
      <c r="G20" s="22" t="s">
        <v>1435</v>
      </c>
      <c r="H20" s="19"/>
      <c r="I20" s="19"/>
      <c r="J20" s="28"/>
      <c r="K20" s="26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29">
      <c r="A21" s="51"/>
      <c r="B21" s="49"/>
      <c r="C21" s="4" t="s">
        <v>44</v>
      </c>
      <c r="D21" s="22" t="s">
        <v>37</v>
      </c>
      <c r="E21" s="28"/>
      <c r="F21" s="22" t="s">
        <v>1436</v>
      </c>
      <c r="G21" s="22" t="s">
        <v>1437</v>
      </c>
      <c r="H21" s="19"/>
      <c r="I21" s="19"/>
      <c r="J21" s="28"/>
      <c r="K21" s="26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29">
      <c r="A22" s="51"/>
      <c r="B22" s="49"/>
      <c r="C22" s="4" t="s">
        <v>44</v>
      </c>
      <c r="D22" s="22" t="s">
        <v>38</v>
      </c>
      <c r="E22" s="28"/>
      <c r="F22" s="22" t="s">
        <v>1438</v>
      </c>
      <c r="G22" s="22" t="s">
        <v>1439</v>
      </c>
      <c r="H22" s="19"/>
      <c r="I22" s="19"/>
      <c r="J22" s="28"/>
      <c r="K22" s="26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29">
      <c r="A23" s="51"/>
      <c r="B23" s="49"/>
      <c r="C23" s="4" t="s">
        <v>44</v>
      </c>
      <c r="D23" s="22" t="s">
        <v>39</v>
      </c>
      <c r="E23" s="28"/>
      <c r="F23" s="22" t="s">
        <v>1440</v>
      </c>
      <c r="G23" s="22" t="s">
        <v>1441</v>
      </c>
      <c r="H23" s="19"/>
      <c r="I23" s="19"/>
      <c r="J23" s="28"/>
      <c r="K23" s="26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29">
      <c r="A24" s="52"/>
      <c r="B24" s="49"/>
      <c r="C24" s="4" t="s">
        <v>44</v>
      </c>
      <c r="D24" s="22" t="s">
        <v>16</v>
      </c>
      <c r="E24" s="28"/>
      <c r="F24" s="22" t="s">
        <v>1442</v>
      </c>
      <c r="G24" s="22" t="s">
        <v>1443</v>
      </c>
      <c r="H24" s="19"/>
      <c r="I24" s="19"/>
      <c r="J24" s="28"/>
      <c r="K24" s="26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29">
      <c r="A25" s="50" t="s">
        <v>1380</v>
      </c>
      <c r="B25" s="49" t="s">
        <v>40</v>
      </c>
      <c r="C25" s="4" t="s">
        <v>44</v>
      </c>
      <c r="D25" s="27" t="str">
        <f>IFERROR(INDEX(sample.general_sample_term!A:H,MATCH($E25,sample.general_sample_term!C:C,FALSE),2),"")</f>
        <v>sample.general.general-name</v>
      </c>
      <c r="E25" s="21" t="s">
        <v>1274</v>
      </c>
      <c r="F25" s="27" t="str">
        <f>IFERROR(INDEX(sample.general_sample_term!A:H,MATCH($E25,sample.general_sample_term!C:C,FALSE),3),"")</f>
        <v>一般名称</v>
      </c>
      <c r="G25" s="27" t="str">
        <f>IFERROR(INDEX(sample.general_sample_term!A:H,MATCH($E25,sample.general_sample_term!C:C,FALSE),4),"")</f>
        <v>General name</v>
      </c>
      <c r="H25" s="19"/>
      <c r="I25" s="19"/>
      <c r="J25" s="28"/>
      <c r="K25" s="26"/>
      <c r="L25" s="28"/>
      <c r="M25" s="28"/>
      <c r="N25" s="28"/>
      <c r="O25" s="28"/>
      <c r="P25" s="28"/>
      <c r="Q25" s="28"/>
      <c r="R25" s="28"/>
      <c r="S25" s="28"/>
      <c r="T25" s="28"/>
      <c r="U25" s="27" t="str">
        <f>IFERROR(INDEX(sample.general_sample_term!A:H,MATCH($E25,sample.general_sample_term!C:C,FALSE),5),"")</f>
        <v>一般名称を入力してください</v>
      </c>
      <c r="V25" s="27" t="str">
        <f>IFERROR(INDEX(sample.general_sample_term!A:H,MATCH($E25,sample.general_sample_term!C:C,FALSE),6),"")</f>
        <v>Please enter General name</v>
      </c>
      <c r="W25" s="28"/>
      <c r="X25" s="28"/>
      <c r="Y25" s="28"/>
      <c r="Z25" s="28"/>
      <c r="AA25" s="28"/>
      <c r="AB25" s="28"/>
      <c r="AC25" s="28"/>
    </row>
    <row r="26" spans="1:29">
      <c r="A26" s="51"/>
      <c r="B26" s="49"/>
      <c r="C26" s="4" t="s">
        <v>44</v>
      </c>
      <c r="D26" s="27" t="str">
        <f>IFERROR(INDEX(sample.general_sample_term!A:H,MATCH($E26,sample.general_sample_term!C:C,FALSE),2),"")</f>
        <v/>
      </c>
      <c r="E26" s="21"/>
      <c r="F26" s="27" t="str">
        <f>IFERROR(INDEX(sample.general_sample_term!A:H,MATCH($E26,sample.general_sample_term!C:C,FALSE),3),"")</f>
        <v/>
      </c>
      <c r="G26" s="27" t="str">
        <f>IFERROR(INDEX(sample.general_sample_term!A:H,MATCH($E26,sample.general_sample_term!C:C,FALSE),4),"")</f>
        <v/>
      </c>
      <c r="H26" s="19"/>
      <c r="I26" s="19"/>
      <c r="J26" s="28"/>
      <c r="K26" s="26"/>
      <c r="L26" s="28"/>
      <c r="M26" s="28"/>
      <c r="N26" s="28"/>
      <c r="O26" s="28"/>
      <c r="P26" s="28"/>
      <c r="Q26" s="28"/>
      <c r="R26" s="28"/>
      <c r="S26" s="28"/>
      <c r="T26" s="28"/>
      <c r="U26" s="27" t="str">
        <f>IFERROR(INDEX(sample.general_sample_term!A:H,MATCH($E26,sample.general_sample_term!C:C,FALSE),5),"")</f>
        <v/>
      </c>
      <c r="V26" s="27" t="str">
        <f>IFERROR(INDEX(sample.general_sample_term!A:H,MATCH($E26,sample.general_sample_term!C:C,FALSE),6),"")</f>
        <v/>
      </c>
      <c r="W26" s="28"/>
      <c r="X26" s="28"/>
      <c r="Y26" s="28"/>
      <c r="Z26" s="28"/>
      <c r="AA26" s="28"/>
      <c r="AB26" s="28"/>
      <c r="AC26" s="28"/>
    </row>
    <row r="27" spans="1:29">
      <c r="A27" s="51"/>
      <c r="B27" s="49"/>
      <c r="C27" s="4" t="s">
        <v>44</v>
      </c>
      <c r="D27" s="27" t="str">
        <f>IFERROR(INDEX(sample.general_sample_term!A:H,MATCH($E27,sample.general_sample_term!C:C,FALSE),2),"")</f>
        <v/>
      </c>
      <c r="E27" s="21"/>
      <c r="F27" s="27" t="str">
        <f>IFERROR(INDEX(sample.general_sample_term!A:H,MATCH($E27,sample.general_sample_term!C:C,FALSE),3),"")</f>
        <v/>
      </c>
      <c r="G27" s="27" t="str">
        <f>IFERROR(INDEX(sample.general_sample_term!A:H,MATCH($E27,sample.general_sample_term!C:C,FALSE),4),"")</f>
        <v/>
      </c>
      <c r="H27" s="19"/>
      <c r="I27" s="19"/>
      <c r="J27" s="28"/>
      <c r="K27" s="26"/>
      <c r="L27" s="28"/>
      <c r="M27" s="28"/>
      <c r="N27" s="28"/>
      <c r="O27" s="28"/>
      <c r="P27" s="28"/>
      <c r="Q27" s="28"/>
      <c r="R27" s="28"/>
      <c r="S27" s="28"/>
      <c r="T27" s="28"/>
      <c r="U27" s="27" t="str">
        <f>IFERROR(INDEX(sample.general_sample_term!A:H,MATCH($E27,sample.general_sample_term!C:C,FALSE),5),"")</f>
        <v/>
      </c>
      <c r="V27" s="27" t="str">
        <f>IFERROR(INDEX(sample.general_sample_term!A:H,MATCH($E27,sample.general_sample_term!C:C,FALSE),6),"")</f>
        <v/>
      </c>
      <c r="W27" s="28"/>
      <c r="X27" s="28"/>
      <c r="Y27" s="28"/>
      <c r="Z27" s="28"/>
      <c r="AA27" s="28"/>
      <c r="AB27" s="28"/>
      <c r="AC27" s="28"/>
    </row>
    <row r="28" spans="1:29">
      <c r="A28" s="51"/>
      <c r="B28" s="49"/>
      <c r="C28" s="4" t="s">
        <v>44</v>
      </c>
      <c r="D28" s="27" t="str">
        <f>IFERROR(INDEX(sample.general_sample_term!A:H,MATCH($E28,sample.general_sample_term!C:C,FALSE),2),"")</f>
        <v/>
      </c>
      <c r="E28" s="21"/>
      <c r="F28" s="27" t="str">
        <f>IFERROR(INDEX(sample.general_sample_term!A:H,MATCH($E28,sample.general_sample_term!C:C,FALSE),3),"")</f>
        <v/>
      </c>
      <c r="G28" s="27" t="str">
        <f>IFERROR(INDEX(sample.general_sample_term!A:H,MATCH($E28,sample.general_sample_term!C:C,FALSE),4),"")</f>
        <v/>
      </c>
      <c r="H28" s="19"/>
      <c r="I28" s="19"/>
      <c r="J28" s="28"/>
      <c r="K28" s="26"/>
      <c r="L28" s="28"/>
      <c r="M28" s="28"/>
      <c r="N28" s="28"/>
      <c r="O28" s="28"/>
      <c r="P28" s="28"/>
      <c r="Q28" s="28"/>
      <c r="R28" s="28"/>
      <c r="S28" s="28"/>
      <c r="T28" s="28"/>
      <c r="U28" s="27" t="str">
        <f>IFERROR(INDEX(sample.general_sample_term!A:H,MATCH($E28,sample.general_sample_term!C:C,FALSE),5),"")</f>
        <v/>
      </c>
      <c r="V28" s="27" t="str">
        <f>IFERROR(INDEX(sample.general_sample_term!A:H,MATCH($E28,sample.general_sample_term!C:C,FALSE),6),"")</f>
        <v/>
      </c>
      <c r="W28" s="28"/>
      <c r="X28" s="28"/>
      <c r="Y28" s="28"/>
      <c r="Z28" s="28"/>
      <c r="AA28" s="28"/>
      <c r="AB28" s="28"/>
      <c r="AC28" s="28"/>
    </row>
    <row r="29" spans="1:29">
      <c r="A29" s="51"/>
      <c r="B29" s="49"/>
      <c r="C29" s="4" t="s">
        <v>44</v>
      </c>
      <c r="D29" s="27" t="str">
        <f>IFERROR(INDEX(sample.general_sample_term!A:H,MATCH($E29,sample.general_sample_term!C:C,FALSE),2),"")</f>
        <v/>
      </c>
      <c r="E29" s="21"/>
      <c r="F29" s="27" t="str">
        <f>IFERROR(INDEX(sample.general_sample_term!A:H,MATCH($E29,sample.general_sample_term!C:C,FALSE),3),"")</f>
        <v/>
      </c>
      <c r="G29" s="27" t="str">
        <f>IFERROR(INDEX(sample.general_sample_term!A:H,MATCH($E29,sample.general_sample_term!C:C,FALSE),4),"")</f>
        <v/>
      </c>
      <c r="H29" s="19"/>
      <c r="I29" s="19"/>
      <c r="J29" s="28"/>
      <c r="K29" s="26"/>
      <c r="L29" s="28"/>
      <c r="M29" s="28"/>
      <c r="N29" s="28"/>
      <c r="O29" s="28"/>
      <c r="P29" s="28"/>
      <c r="Q29" s="28"/>
      <c r="R29" s="28"/>
      <c r="S29" s="28"/>
      <c r="T29" s="28"/>
      <c r="U29" s="27" t="str">
        <f>IFERROR(INDEX(sample.general_sample_term!A:H,MATCH($E29,sample.general_sample_term!C:C,FALSE),5),"")</f>
        <v/>
      </c>
      <c r="V29" s="27" t="str">
        <f>IFERROR(INDEX(sample.general_sample_term!A:H,MATCH($E29,sample.general_sample_term!C:C,FALSE),6),"")</f>
        <v/>
      </c>
      <c r="W29" s="28"/>
      <c r="X29" s="28"/>
      <c r="Y29" s="28"/>
      <c r="Z29" s="28"/>
      <c r="AA29" s="28"/>
      <c r="AB29" s="28"/>
      <c r="AC29" s="28"/>
    </row>
    <row r="30" spans="1:29">
      <c r="A30" s="51"/>
      <c r="B30" s="49"/>
      <c r="C30" s="4" t="s">
        <v>44</v>
      </c>
      <c r="D30" s="27" t="str">
        <f>IFERROR(INDEX(sample.general_sample_term!A:H,MATCH($E30,sample.general_sample_term!C:C,FALSE),2),"")</f>
        <v/>
      </c>
      <c r="E30" s="21"/>
      <c r="F30" s="27" t="str">
        <f>IFERROR(INDEX(sample.general_sample_term!A:H,MATCH($E30,sample.general_sample_term!C:C,FALSE),3),"")</f>
        <v/>
      </c>
      <c r="G30" s="27" t="str">
        <f>IFERROR(INDEX(sample.general_sample_term!A:H,MATCH($E30,sample.general_sample_term!C:C,FALSE),4),"")</f>
        <v/>
      </c>
      <c r="H30" s="19"/>
      <c r="I30" s="19"/>
      <c r="J30" s="28"/>
      <c r="K30" s="26"/>
      <c r="L30" s="28"/>
      <c r="M30" s="28"/>
      <c r="N30" s="28"/>
      <c r="O30" s="28"/>
      <c r="P30" s="28"/>
      <c r="Q30" s="28"/>
      <c r="R30" s="28"/>
      <c r="S30" s="28"/>
      <c r="T30" s="28"/>
      <c r="U30" s="27" t="str">
        <f>IFERROR(INDEX(sample.general_sample_term!A:H,MATCH($E30,sample.general_sample_term!C:C,FALSE),5),"")</f>
        <v/>
      </c>
      <c r="V30" s="27" t="str">
        <f>IFERROR(INDEX(sample.general_sample_term!A:H,MATCH($E30,sample.general_sample_term!C:C,FALSE),6),"")</f>
        <v/>
      </c>
      <c r="W30" s="28"/>
      <c r="X30" s="28"/>
      <c r="Y30" s="28"/>
      <c r="Z30" s="28"/>
      <c r="AA30" s="28"/>
      <c r="AB30" s="28"/>
      <c r="AC30" s="28"/>
    </row>
    <row r="31" spans="1:29">
      <c r="A31" s="51"/>
      <c r="B31" s="49"/>
      <c r="C31" s="4" t="s">
        <v>44</v>
      </c>
      <c r="D31" s="27" t="str">
        <f>IFERROR(INDEX(sample.general_sample_term!A:H,MATCH($E31,sample.general_sample_term!C:C,FALSE),2),"")</f>
        <v/>
      </c>
      <c r="E31" s="21"/>
      <c r="F31" s="27" t="str">
        <f>IFERROR(INDEX(sample.general_sample_term!A:H,MATCH($E31,sample.general_sample_term!C:C,FALSE),3),"")</f>
        <v/>
      </c>
      <c r="G31" s="27" t="str">
        <f>IFERROR(INDEX(sample.general_sample_term!A:H,MATCH($E31,sample.general_sample_term!C:C,FALSE),4),"")</f>
        <v/>
      </c>
      <c r="H31" s="19"/>
      <c r="I31" s="19"/>
      <c r="J31" s="28"/>
      <c r="K31" s="26"/>
      <c r="L31" s="28"/>
      <c r="M31" s="28"/>
      <c r="N31" s="28"/>
      <c r="O31" s="28"/>
      <c r="P31" s="28"/>
      <c r="Q31" s="28"/>
      <c r="R31" s="28"/>
      <c r="S31" s="28"/>
      <c r="T31" s="28"/>
      <c r="U31" s="27" t="str">
        <f>IFERROR(INDEX(sample.general_sample_term!A:H,MATCH($E31,sample.general_sample_term!C:C,FALSE),5),"")</f>
        <v/>
      </c>
      <c r="V31" s="27" t="str">
        <f>IFERROR(INDEX(sample.general_sample_term!A:H,MATCH($E31,sample.general_sample_term!C:C,FALSE),6),"")</f>
        <v/>
      </c>
      <c r="W31" s="28"/>
      <c r="X31" s="28"/>
      <c r="Y31" s="28"/>
      <c r="Z31" s="28"/>
      <c r="AA31" s="28"/>
      <c r="AB31" s="28"/>
      <c r="AC31" s="28"/>
    </row>
    <row r="32" spans="1:29">
      <c r="A32" s="51"/>
      <c r="B32" s="49"/>
      <c r="C32" s="4" t="s">
        <v>44</v>
      </c>
      <c r="D32" s="27" t="str">
        <f>IFERROR(INDEX(sample.general_sample_term!A:H,MATCH($E32,sample.general_sample_term!C:C,FALSE),2),"")</f>
        <v/>
      </c>
      <c r="E32" s="21"/>
      <c r="F32" s="27" t="str">
        <f>IFERROR(INDEX(sample.general_sample_term!A:H,MATCH($E32,sample.general_sample_term!C:C,FALSE),3),"")</f>
        <v/>
      </c>
      <c r="G32" s="27" t="str">
        <f>IFERROR(INDEX(sample.general_sample_term!A:H,MATCH($E32,sample.general_sample_term!C:C,FALSE),4),"")</f>
        <v/>
      </c>
      <c r="H32" s="19"/>
      <c r="I32" s="19"/>
      <c r="J32" s="28"/>
      <c r="K32" s="26"/>
      <c r="L32" s="28"/>
      <c r="M32" s="28"/>
      <c r="N32" s="28"/>
      <c r="O32" s="28"/>
      <c r="P32" s="28"/>
      <c r="Q32" s="28"/>
      <c r="R32" s="28"/>
      <c r="S32" s="28"/>
      <c r="T32" s="28"/>
      <c r="U32" s="27" t="str">
        <f>IFERROR(INDEX(sample.general_sample_term!A:H,MATCH($E32,sample.general_sample_term!C:C,FALSE),5),"")</f>
        <v/>
      </c>
      <c r="V32" s="27" t="str">
        <f>IFERROR(INDEX(sample.general_sample_term!A:H,MATCH($E32,sample.general_sample_term!C:C,FALSE),6),"")</f>
        <v/>
      </c>
      <c r="W32" s="28"/>
      <c r="X32" s="28"/>
      <c r="Y32" s="28"/>
      <c r="Z32" s="28"/>
      <c r="AA32" s="28"/>
      <c r="AB32" s="28"/>
      <c r="AC32" s="28"/>
    </row>
    <row r="33" spans="1:29">
      <c r="A33" s="52"/>
      <c r="B33" s="49"/>
      <c r="C33" s="4" t="s">
        <v>44</v>
      </c>
      <c r="D33" s="27" t="str">
        <f>IFERROR(INDEX(sample.general_sample_term!A:H,MATCH($E33,sample.general_sample_term!C:C,FALSE),2),"")</f>
        <v/>
      </c>
      <c r="E33" s="21"/>
      <c r="F33" s="27" t="str">
        <f>IFERROR(INDEX(sample.general_sample_term!A:H,MATCH($E33,sample.general_sample_term!C:C,FALSE),3),"")</f>
        <v/>
      </c>
      <c r="G33" s="27" t="str">
        <f>IFERROR(INDEX(sample.general_sample_term!A:H,MATCH($E33,sample.general_sample_term!C:C,FALSE),4),"")</f>
        <v/>
      </c>
      <c r="H33" s="19"/>
      <c r="I33" s="19"/>
      <c r="J33" s="28"/>
      <c r="K33" s="26"/>
      <c r="L33" s="28"/>
      <c r="M33" s="28"/>
      <c r="N33" s="28"/>
      <c r="O33" s="28"/>
      <c r="P33" s="28"/>
      <c r="Q33" s="28"/>
      <c r="R33" s="28"/>
      <c r="S33" s="28"/>
      <c r="T33" s="28"/>
      <c r="U33" s="27" t="str">
        <f>IFERROR(INDEX(sample.general_sample_term!A:H,MATCH($E33,sample.general_sample_term!C:C,FALSE),5),"")</f>
        <v/>
      </c>
      <c r="V33" s="27" t="str">
        <f>IFERROR(INDEX(sample.general_sample_term!A:H,MATCH($E33,sample.general_sample_term!C:C,FALSE),6),"")</f>
        <v/>
      </c>
      <c r="W33" s="28"/>
      <c r="X33" s="28"/>
      <c r="Y33" s="28"/>
      <c r="Z33" s="28"/>
      <c r="AA33" s="28"/>
      <c r="AB33" s="28"/>
      <c r="AC33" s="28"/>
    </row>
    <row r="34" spans="1:29">
      <c r="A34" s="50" t="s">
        <v>1381</v>
      </c>
      <c r="B34" s="49" t="s">
        <v>41</v>
      </c>
      <c r="C34" s="4" t="s">
        <v>44</v>
      </c>
      <c r="D34" s="27" t="str">
        <f>IFERROR(INDEX(sample.specific_sample_term!A:M,MATCH($E34,sample.specific_sample_term!L:L,FALSE),3),"")</f>
        <v>sample.specific.organic.chemical-formula</v>
      </c>
      <c r="E34" s="21" t="s">
        <v>1467</v>
      </c>
      <c r="F34" s="27" t="str">
        <f>IFERROR(INDEX(sample.specific_sample_term!A:M,MATCH($E34,sample.specific_sample_term!L:L,FALSE),12),"")</f>
        <v>有機材料/化学式</v>
      </c>
      <c r="G34" s="27" t="str">
        <f>IFERROR(INDEX(sample.specific_sample_term!A:M,MATCH($E34,sample.specific_sample_term!L:L,FALSE),13),"")</f>
        <v>organic material/Chemical formula</v>
      </c>
      <c r="H34" s="19"/>
      <c r="I34" s="19"/>
      <c r="J34" s="28"/>
      <c r="K34" s="26"/>
      <c r="L34" s="28"/>
      <c r="M34" s="28"/>
      <c r="N34" s="28"/>
      <c r="O34" s="28"/>
      <c r="P34" s="28"/>
      <c r="Q34" s="28"/>
      <c r="R34" s="28"/>
      <c r="S34" s="28"/>
      <c r="T34" s="28"/>
      <c r="U34" s="27" t="str">
        <f>IFERROR(INDEX(sample.specific_sample_term!A:M,MATCH($E34,sample.specific_sample_term!L:L,FALSE),8),"")</f>
        <v>化学式を入力してください</v>
      </c>
      <c r="V34" s="27" t="str">
        <f>IFERROR(INDEX(sample.specific_sample_term!A:M,MATCH($E34,sample.specific_sample_term!L:L,FALSE),9),"")</f>
        <v>Please enter Chemical formula</v>
      </c>
      <c r="W34" s="28"/>
      <c r="X34" s="28"/>
      <c r="Y34" s="28"/>
      <c r="Z34" s="28"/>
      <c r="AA34" s="28"/>
      <c r="AB34" s="28"/>
      <c r="AC34" s="28"/>
    </row>
    <row r="35" spans="1:29">
      <c r="A35" s="51"/>
      <c r="B35" s="49"/>
      <c r="C35" s="4" t="s">
        <v>44</v>
      </c>
      <c r="D35" s="27" t="str">
        <f>IFERROR(INDEX(sample.specific_sample_term!A:M,MATCH($E35,sample.specific_sample_term!L:L,FALSE),3),"")</f>
        <v/>
      </c>
      <c r="E35" s="21"/>
      <c r="F35" s="27" t="str">
        <f>IFERROR(INDEX(sample.specific_sample_term!A:M,MATCH($E35,sample.specific_sample_term!L:L,FALSE),12),"")</f>
        <v/>
      </c>
      <c r="G35" s="27" t="str">
        <f>IFERROR(INDEX(sample.specific_sample_term!A:M,MATCH($E35,sample.specific_sample_term!L:L,FALSE),13),"")</f>
        <v/>
      </c>
      <c r="H35" s="19"/>
      <c r="I35" s="19"/>
      <c r="J35" s="28"/>
      <c r="K35" s="26"/>
      <c r="L35" s="28"/>
      <c r="M35" s="28"/>
      <c r="N35" s="28"/>
      <c r="O35" s="28"/>
      <c r="P35" s="28"/>
      <c r="Q35" s="28"/>
      <c r="R35" s="28"/>
      <c r="S35" s="28"/>
      <c r="T35" s="28"/>
      <c r="U35" s="27" t="str">
        <f>IFERROR(INDEX(sample.specific_sample_term!A:M,MATCH($E35,sample.specific_sample_term!L:L,FALSE),8),"")</f>
        <v/>
      </c>
      <c r="V35" s="27" t="str">
        <f>IFERROR(INDEX(sample.specific_sample_term!A:M,MATCH($E35,sample.specific_sample_term!L:L,FALSE),9),"")</f>
        <v/>
      </c>
      <c r="W35" s="28"/>
      <c r="X35" s="28"/>
      <c r="Y35" s="28"/>
      <c r="Z35" s="28"/>
      <c r="AA35" s="28"/>
      <c r="AB35" s="28"/>
      <c r="AC35" s="28"/>
    </row>
    <row r="36" spans="1:29">
      <c r="A36" s="51"/>
      <c r="B36" s="49"/>
      <c r="C36" s="4" t="s">
        <v>44</v>
      </c>
      <c r="D36" s="27" t="str">
        <f>IFERROR(INDEX(sample.specific_sample_term!A:M,MATCH($E36,sample.specific_sample_term!L:L,FALSE),3),"")</f>
        <v/>
      </c>
      <c r="E36" s="21"/>
      <c r="F36" s="27" t="str">
        <f>IFERROR(INDEX(sample.specific_sample_term!A:M,MATCH($E36,sample.specific_sample_term!L:L,FALSE),12),"")</f>
        <v/>
      </c>
      <c r="G36" s="27" t="str">
        <f>IFERROR(INDEX(sample.specific_sample_term!A:M,MATCH($E36,sample.specific_sample_term!L:L,FALSE),13),"")</f>
        <v/>
      </c>
      <c r="H36" s="19"/>
      <c r="I36" s="19"/>
      <c r="J36" s="28"/>
      <c r="K36" s="26"/>
      <c r="L36" s="28"/>
      <c r="M36" s="28"/>
      <c r="N36" s="28"/>
      <c r="O36" s="28"/>
      <c r="P36" s="28"/>
      <c r="Q36" s="28"/>
      <c r="R36" s="28"/>
      <c r="S36" s="28"/>
      <c r="T36" s="28"/>
      <c r="U36" s="27" t="str">
        <f>IFERROR(INDEX(sample.specific_sample_term!A:M,MATCH($E36,sample.specific_sample_term!L:L,FALSE),8),"")</f>
        <v/>
      </c>
      <c r="V36" s="27" t="str">
        <f>IFERROR(INDEX(sample.specific_sample_term!A:M,MATCH($E36,sample.specific_sample_term!L:L,FALSE),9),"")</f>
        <v/>
      </c>
      <c r="W36" s="28"/>
      <c r="X36" s="28"/>
      <c r="Y36" s="28"/>
      <c r="Z36" s="28"/>
      <c r="AA36" s="28"/>
      <c r="AB36" s="28"/>
      <c r="AC36" s="28"/>
    </row>
    <row r="37" spans="1:29">
      <c r="A37" s="51"/>
      <c r="B37" s="49"/>
      <c r="C37" s="4" t="s">
        <v>44</v>
      </c>
      <c r="D37" s="27" t="str">
        <f>IFERROR(INDEX(sample.specific_sample_term!A:M,MATCH($E37,sample.specific_sample_term!L:L,FALSE),3),"")</f>
        <v/>
      </c>
      <c r="E37" s="21"/>
      <c r="F37" s="27" t="str">
        <f>IFERROR(INDEX(sample.specific_sample_term!A:M,MATCH($E37,sample.specific_sample_term!L:L,FALSE),12),"")</f>
        <v/>
      </c>
      <c r="G37" s="27" t="str">
        <f>IFERROR(INDEX(sample.specific_sample_term!A:M,MATCH($E37,sample.specific_sample_term!L:L,FALSE),13),"")</f>
        <v/>
      </c>
      <c r="H37" s="19"/>
      <c r="I37" s="19"/>
      <c r="J37" s="28"/>
      <c r="K37" s="26"/>
      <c r="L37" s="28"/>
      <c r="M37" s="28"/>
      <c r="N37" s="28"/>
      <c r="O37" s="28"/>
      <c r="P37" s="28"/>
      <c r="Q37" s="28"/>
      <c r="R37" s="28"/>
      <c r="S37" s="28"/>
      <c r="T37" s="28"/>
      <c r="U37" s="27" t="str">
        <f>IFERROR(INDEX(sample.specific_sample_term!A:M,MATCH($E37,sample.specific_sample_term!L:L,FALSE),8),"")</f>
        <v/>
      </c>
      <c r="V37" s="27" t="str">
        <f>IFERROR(INDEX(sample.specific_sample_term!A:M,MATCH($E37,sample.specific_sample_term!L:L,FALSE),9),"")</f>
        <v/>
      </c>
      <c r="W37" s="28"/>
      <c r="X37" s="28"/>
      <c r="Y37" s="28"/>
      <c r="Z37" s="28"/>
      <c r="AA37" s="28"/>
      <c r="AB37" s="28"/>
      <c r="AC37" s="28"/>
    </row>
    <row r="38" spans="1:29">
      <c r="A38" s="51"/>
      <c r="B38" s="49"/>
      <c r="C38" s="4" t="s">
        <v>44</v>
      </c>
      <c r="D38" s="27" t="str">
        <f>IFERROR(INDEX(sample.specific_sample_term!A:M,MATCH($E38,sample.specific_sample_term!L:L,FALSE),3),"")</f>
        <v/>
      </c>
      <c r="E38" s="21"/>
      <c r="F38" s="27" t="str">
        <f>IFERROR(INDEX(sample.specific_sample_term!A:M,MATCH($E38,sample.specific_sample_term!L:L,FALSE),12),"")</f>
        <v/>
      </c>
      <c r="G38" s="27" t="str">
        <f>IFERROR(INDEX(sample.specific_sample_term!A:M,MATCH($E38,sample.specific_sample_term!L:L,FALSE),13),"")</f>
        <v/>
      </c>
      <c r="H38" s="19"/>
      <c r="I38" s="19"/>
      <c r="J38" s="28"/>
      <c r="K38" s="26"/>
      <c r="L38" s="28"/>
      <c r="M38" s="28"/>
      <c r="N38" s="28"/>
      <c r="O38" s="28"/>
      <c r="P38" s="28"/>
      <c r="Q38" s="28"/>
      <c r="R38" s="28"/>
      <c r="S38" s="28"/>
      <c r="T38" s="28"/>
      <c r="U38" s="27" t="str">
        <f>IFERROR(INDEX(sample.specific_sample_term!A:M,MATCH($E38,sample.specific_sample_term!L:L,FALSE),8),"")</f>
        <v/>
      </c>
      <c r="V38" s="27" t="str">
        <f>IFERROR(INDEX(sample.specific_sample_term!A:M,MATCH($E38,sample.specific_sample_term!L:L,FALSE),9),"")</f>
        <v/>
      </c>
      <c r="W38" s="28"/>
      <c r="X38" s="28"/>
      <c r="Y38" s="28"/>
      <c r="Z38" s="28"/>
      <c r="AA38" s="28"/>
      <c r="AB38" s="28"/>
      <c r="AC38" s="28"/>
    </row>
    <row r="39" spans="1:29">
      <c r="A39" s="51"/>
      <c r="B39" s="49"/>
      <c r="C39" s="4" t="s">
        <v>44</v>
      </c>
      <c r="D39" s="27" t="str">
        <f>IFERROR(INDEX(sample.specific_sample_term!A:M,MATCH($E39,sample.specific_sample_term!L:L,FALSE),3),"")</f>
        <v/>
      </c>
      <c r="E39" s="21"/>
      <c r="F39" s="27" t="str">
        <f>IFERROR(INDEX(sample.specific_sample_term!A:M,MATCH($E39,sample.specific_sample_term!L:L,FALSE),12),"")</f>
        <v/>
      </c>
      <c r="G39" s="27" t="str">
        <f>IFERROR(INDEX(sample.specific_sample_term!A:M,MATCH($E39,sample.specific_sample_term!L:L,FALSE),13),"")</f>
        <v/>
      </c>
      <c r="H39" s="19"/>
      <c r="I39" s="19"/>
      <c r="J39" s="28"/>
      <c r="K39" s="26"/>
      <c r="L39" s="28"/>
      <c r="M39" s="28"/>
      <c r="N39" s="28"/>
      <c r="O39" s="28"/>
      <c r="P39" s="28"/>
      <c r="Q39" s="28"/>
      <c r="R39" s="28"/>
      <c r="S39" s="28"/>
      <c r="T39" s="28"/>
      <c r="U39" s="27" t="str">
        <f>IFERROR(INDEX(sample.specific_sample_term!A:M,MATCH($E39,sample.specific_sample_term!L:L,FALSE),8),"")</f>
        <v/>
      </c>
      <c r="V39" s="27" t="str">
        <f>IFERROR(INDEX(sample.specific_sample_term!A:M,MATCH($E39,sample.specific_sample_term!L:L,FALSE),9),"")</f>
        <v/>
      </c>
      <c r="W39" s="28"/>
      <c r="X39" s="28"/>
      <c r="Y39" s="28"/>
      <c r="Z39" s="28"/>
      <c r="AA39" s="28"/>
      <c r="AB39" s="28"/>
      <c r="AC39" s="28"/>
    </row>
    <row r="40" spans="1:29">
      <c r="A40" s="51"/>
      <c r="B40" s="49"/>
      <c r="C40" s="4" t="s">
        <v>44</v>
      </c>
      <c r="D40" s="27" t="str">
        <f>IFERROR(INDEX(sample.specific_sample_term!A:M,MATCH($E40,sample.specific_sample_term!L:L,FALSE),3),"")</f>
        <v/>
      </c>
      <c r="E40" s="21"/>
      <c r="F40" s="27" t="str">
        <f>IFERROR(INDEX(sample.specific_sample_term!A:M,MATCH($E40,sample.specific_sample_term!L:L,FALSE),12),"")</f>
        <v/>
      </c>
      <c r="G40" s="27" t="str">
        <f>IFERROR(INDEX(sample.specific_sample_term!A:M,MATCH($E40,sample.specific_sample_term!L:L,FALSE),13),"")</f>
        <v/>
      </c>
      <c r="H40" s="19"/>
      <c r="I40" s="19"/>
      <c r="J40" s="28"/>
      <c r="K40" s="26"/>
      <c r="L40" s="28"/>
      <c r="M40" s="28"/>
      <c r="N40" s="28"/>
      <c r="O40" s="28"/>
      <c r="P40" s="28"/>
      <c r="Q40" s="28"/>
      <c r="R40" s="28"/>
      <c r="S40" s="28"/>
      <c r="T40" s="28"/>
      <c r="U40" s="27" t="str">
        <f>IFERROR(INDEX(sample.specific_sample_term!A:M,MATCH($E40,sample.specific_sample_term!L:L,FALSE),8),"")</f>
        <v/>
      </c>
      <c r="V40" s="27" t="str">
        <f>IFERROR(INDEX(sample.specific_sample_term!A:M,MATCH($E40,sample.specific_sample_term!L:L,FALSE),9),"")</f>
        <v/>
      </c>
      <c r="W40" s="28"/>
      <c r="X40" s="28"/>
      <c r="Y40" s="28"/>
      <c r="Z40" s="28"/>
      <c r="AA40" s="28"/>
      <c r="AB40" s="28"/>
      <c r="AC40" s="28"/>
    </row>
    <row r="41" spans="1:29">
      <c r="A41" s="51"/>
      <c r="B41" s="49"/>
      <c r="C41" s="4" t="s">
        <v>44</v>
      </c>
      <c r="D41" s="27" t="str">
        <f>IFERROR(INDEX(sample.specific_sample_term!A:M,MATCH($E41,sample.specific_sample_term!L:L,FALSE),3),"")</f>
        <v/>
      </c>
      <c r="E41" s="21"/>
      <c r="F41" s="27" t="str">
        <f>IFERROR(INDEX(sample.specific_sample_term!A:M,MATCH($E41,sample.specific_sample_term!L:L,FALSE),12),"")</f>
        <v/>
      </c>
      <c r="G41" s="27" t="str">
        <f>IFERROR(INDEX(sample.specific_sample_term!A:M,MATCH($E41,sample.specific_sample_term!L:L,FALSE),13),"")</f>
        <v/>
      </c>
      <c r="H41" s="19"/>
      <c r="I41" s="19"/>
      <c r="J41" s="28"/>
      <c r="K41" s="26"/>
      <c r="L41" s="28"/>
      <c r="M41" s="28"/>
      <c r="N41" s="28"/>
      <c r="O41" s="28"/>
      <c r="P41" s="28"/>
      <c r="Q41" s="28"/>
      <c r="R41" s="28"/>
      <c r="S41" s="28"/>
      <c r="T41" s="28"/>
      <c r="U41" s="27" t="str">
        <f>IFERROR(INDEX(sample.specific_sample_term!A:M,MATCH($E41,sample.specific_sample_term!L:L,FALSE),8),"")</f>
        <v/>
      </c>
      <c r="V41" s="27" t="str">
        <f>IFERROR(INDEX(sample.specific_sample_term!A:M,MATCH($E41,sample.specific_sample_term!L:L,FALSE),9),"")</f>
        <v/>
      </c>
      <c r="W41" s="28"/>
      <c r="X41" s="28"/>
      <c r="Y41" s="28"/>
      <c r="Z41" s="28"/>
      <c r="AA41" s="28"/>
      <c r="AB41" s="28"/>
      <c r="AC41" s="28"/>
    </row>
    <row r="42" spans="1:29">
      <c r="A42" s="52"/>
      <c r="B42" s="49"/>
      <c r="C42" s="4" t="s">
        <v>44</v>
      </c>
      <c r="D42" s="27" t="str">
        <f>IFERROR(INDEX(sample.specific_sample_term!A:M,MATCH($E42,sample.specific_sample_term!L:L,FALSE),3),"")</f>
        <v/>
      </c>
      <c r="E42" s="21"/>
      <c r="F42" s="27" t="str">
        <f>IFERROR(INDEX(sample.specific_sample_term!A:M,MATCH($E42,sample.specific_sample_term!L:L,FALSE),12),"")</f>
        <v/>
      </c>
      <c r="G42" s="27" t="str">
        <f>IFERROR(INDEX(sample.specific_sample_term!A:M,MATCH($E42,sample.specific_sample_term!L:L,FALSE),13),"")</f>
        <v/>
      </c>
      <c r="H42" s="19"/>
      <c r="I42" s="19"/>
      <c r="J42" s="28"/>
      <c r="K42" s="26"/>
      <c r="L42" s="28"/>
      <c r="M42" s="28"/>
      <c r="N42" s="28"/>
      <c r="O42" s="28"/>
      <c r="P42" s="28"/>
      <c r="Q42" s="28"/>
      <c r="R42" s="28"/>
      <c r="S42" s="28"/>
      <c r="T42" s="28"/>
      <c r="U42" s="27" t="str">
        <f>IFERROR(INDEX(sample.specific_sample_term!A:M,MATCH($E42,sample.specific_sample_term!L:L,FALSE),8),"")</f>
        <v/>
      </c>
      <c r="V42" s="27" t="str">
        <f>IFERROR(INDEX(sample.specific_sample_term!A:M,MATCH($E42,sample.specific_sample_term!L:L,FALSE),9),"")</f>
        <v/>
      </c>
      <c r="W42" s="28"/>
      <c r="X42" s="28"/>
      <c r="Y42" s="28"/>
      <c r="Z42" s="28"/>
      <c r="AA42" s="28"/>
      <c r="AB42" s="28"/>
      <c r="AC42" s="28"/>
    </row>
  </sheetData>
  <mergeCells count="11">
    <mergeCell ref="B1:E1"/>
    <mergeCell ref="B3:E3"/>
    <mergeCell ref="A7:A17"/>
    <mergeCell ref="B25:B33"/>
    <mergeCell ref="B18:B24"/>
    <mergeCell ref="B2:E2"/>
    <mergeCell ref="B34:B42"/>
    <mergeCell ref="B7:B17"/>
    <mergeCell ref="A18:A24"/>
    <mergeCell ref="A25:A33"/>
    <mergeCell ref="A34:A42"/>
  </mergeCells>
  <phoneticPr fontId="2"/>
  <conditionalFormatting sqref="B1:E1">
    <cfRule type="expression" dxfId="23" priority="2" stopIfTrue="1">
      <formula>ISBLANK(B1)</formula>
    </cfRule>
  </conditionalFormatting>
  <conditionalFormatting sqref="C7:C42">
    <cfRule type="cellIs" dxfId="22" priority="20" operator="equal">
      <formula>"OFF"</formula>
    </cfRule>
    <cfRule type="cellIs" dxfId="21" priority="21" operator="equal">
      <formula>"ON"</formula>
    </cfRule>
  </conditionalFormatting>
  <conditionalFormatting sqref="D18:D24">
    <cfRule type="expression" dxfId="20" priority="4">
      <formula>AND($C18="ON",ISBLANK(D18))</formula>
    </cfRule>
  </conditionalFormatting>
  <conditionalFormatting sqref="F7:G24">
    <cfRule type="expression" dxfId="19" priority="3">
      <formula>AND($C7="ON",ISBLANK(F7))</formula>
    </cfRule>
  </conditionalFormatting>
  <conditionalFormatting sqref="M7:M17 E25:E42">
    <cfRule type="expression" dxfId="18" priority="18">
      <formula>AND($C7="ON",ISBLANK(E7))</formula>
    </cfRule>
  </conditionalFormatting>
  <conditionalFormatting sqref="N7:O17">
    <cfRule type="cellIs" dxfId="17" priority="17" operator="equal">
      <formula>"ON"</formula>
    </cfRule>
  </conditionalFormatting>
  <conditionalFormatting sqref="Q7:Q17">
    <cfRule type="expression" dxfId="16" priority="5">
      <formula>AND($C7="ON",$M7&lt;&gt;"textarea")</formula>
    </cfRule>
    <cfRule type="expression" dxfId="15" priority="7">
      <formula>AND($C7="ON",$M7="textarea",ISBLANK($Q7))</formula>
    </cfRule>
    <cfRule type="expression" dxfId="14" priority="9">
      <formula>AND($C7="ON",$M7="textarea")</formula>
    </cfRule>
  </conditionalFormatting>
  <conditionalFormatting sqref="R7:R17">
    <cfRule type="expression" dxfId="13" priority="6">
      <formula>AND($C7="ON",$M7&lt;&gt;"list")</formula>
    </cfRule>
    <cfRule type="expression" dxfId="12" priority="8">
      <formula>AND($C7="ON",$M7="list",ISBLANK($R7))</formula>
    </cfRule>
    <cfRule type="expression" dxfId="11" priority="10">
      <formula>AND($C7="ON",$M7="list")</formula>
    </cfRule>
  </conditionalFormatting>
  <conditionalFormatting sqref="D7:D17">
    <cfRule type="expression" dxfId="0" priority="1">
      <formula>AND($C7="ON",ISBLANK(D7))</formula>
    </cfRule>
  </conditionalFormatting>
  <dataValidations count="3">
    <dataValidation type="list" allowBlank="1" showInputMessage="1" showErrorMessage="1" sqref="C7:C42" xr:uid="{D103B42B-2B1F-416E-8C7B-4013E132CF6F}">
      <formula1>"ON,OFF"</formula1>
    </dataValidation>
    <dataValidation type="list" allowBlank="1" showInputMessage="1" showErrorMessage="1" sqref="L7:L17" xr:uid="{2D4AA448-C361-40D4-AD5E-FB8A11DF009A}">
      <formula1>"　,TRUE"</formula1>
    </dataValidation>
    <dataValidation type="list" allowBlank="1" showInputMessage="1" showErrorMessage="1" sqref="M7:M17" xr:uid="{5FE6F0C0-307E-46F0-BDAA-579DADBA61A0}">
      <formula1>"string,textarea,number,integer,list,date,markdown,time,boolean,uri,uuid"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E25:E33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E34:E42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20" t="s">
        <v>8</v>
      </c>
      <c r="B1" s="68" t="s">
        <v>9</v>
      </c>
      <c r="C1" s="68"/>
      <c r="D1" s="68"/>
      <c r="E1" s="6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spans="1:26">
      <c r="A2" s="20" t="s">
        <v>10</v>
      </c>
      <c r="B2" s="69" t="str">
        <f>"https://rde.nims.go.jp/rde/dataset-templates/"&amp;説明!B3&amp;"/catalog.schema.json"</f>
        <v>https://rde.nims.go.jp/rde/dataset-templates/sample/catalog.schema.json</v>
      </c>
      <c r="C2" s="69"/>
      <c r="D2" s="69"/>
      <c r="E2" s="69"/>
      <c r="F2" s="35"/>
      <c r="G2" s="3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6">
      <c r="A3" s="20" t="s">
        <v>11</v>
      </c>
      <c r="B3" s="70" t="str">
        <f>説明!B4&amp;": データカタログ定義"</f>
        <v>: データカタログ定義</v>
      </c>
      <c r="C3" s="70"/>
      <c r="D3" s="70"/>
      <c r="E3" s="70"/>
      <c r="F3" s="18"/>
      <c r="G3" s="34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 spans="1:26">
      <c r="A4" s="20" t="s">
        <v>82</v>
      </c>
      <c r="B4" s="69" t="str">
        <f>説明!B1&amp;":データカタログ定義"</f>
        <v>sample:データカタログ定義</v>
      </c>
      <c r="C4" s="69"/>
      <c r="D4" s="69"/>
      <c r="E4" s="69"/>
      <c r="F4" s="35"/>
      <c r="G4" s="33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</row>
    <row r="5" spans="1:26">
      <c r="A5" s="20" t="s">
        <v>83</v>
      </c>
      <c r="B5" s="69" t="str">
        <f>説明!B2&amp;":data catalog format"</f>
        <v>sample:data catalog format</v>
      </c>
      <c r="C5" s="69"/>
      <c r="D5" s="69"/>
      <c r="E5" s="69"/>
      <c r="F5" s="35"/>
      <c r="G5" s="33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</row>
    <row r="6" spans="1:2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6" ht="21.75" customHeight="1">
      <c r="A7" s="2" t="s">
        <v>80</v>
      </c>
      <c r="B7" s="2" t="s">
        <v>43</v>
      </c>
      <c r="C7" s="2" t="s">
        <v>25</v>
      </c>
      <c r="D7" s="2" t="s">
        <v>13</v>
      </c>
      <c r="E7" s="2" t="s">
        <v>14</v>
      </c>
      <c r="F7" s="2" t="s">
        <v>15</v>
      </c>
      <c r="G7" s="2" t="s">
        <v>1393</v>
      </c>
      <c r="H7" s="2" t="s">
        <v>1</v>
      </c>
      <c r="I7" s="2" t="s">
        <v>27</v>
      </c>
      <c r="J7" s="2" t="s">
        <v>18</v>
      </c>
      <c r="K7" s="2" t="s">
        <v>19</v>
      </c>
      <c r="L7" s="2" t="s">
        <v>57</v>
      </c>
      <c r="M7" s="2" t="s">
        <v>11</v>
      </c>
      <c r="N7" s="2" t="s">
        <v>17</v>
      </c>
      <c r="O7" s="2" t="s">
        <v>12</v>
      </c>
      <c r="P7" s="2" t="s">
        <v>84</v>
      </c>
      <c r="Q7" s="2" t="s">
        <v>20</v>
      </c>
      <c r="R7" s="2" t="s">
        <v>21</v>
      </c>
      <c r="S7" s="2" t="s">
        <v>22</v>
      </c>
      <c r="T7" s="2" t="s">
        <v>58</v>
      </c>
      <c r="U7" s="2" t="s">
        <v>59</v>
      </c>
      <c r="V7" s="2" t="s">
        <v>60</v>
      </c>
      <c r="W7" s="2" t="s">
        <v>61</v>
      </c>
      <c r="X7" s="2" t="s">
        <v>62</v>
      </c>
      <c r="Y7" s="2" t="s">
        <v>63</v>
      </c>
      <c r="Z7" s="2" t="s">
        <v>64</v>
      </c>
    </row>
    <row r="8" spans="1:26" ht="36.75" customHeight="1">
      <c r="A8" s="2" t="s">
        <v>81</v>
      </c>
      <c r="B8" s="3" t="s">
        <v>1397</v>
      </c>
      <c r="C8" s="3" t="s">
        <v>47</v>
      </c>
      <c r="D8" s="3" t="s">
        <v>48</v>
      </c>
      <c r="E8" s="3" t="s">
        <v>49</v>
      </c>
      <c r="F8" s="3" t="s">
        <v>65</v>
      </c>
      <c r="G8" s="3" t="s">
        <v>1396</v>
      </c>
      <c r="H8" s="3" t="s">
        <v>1398</v>
      </c>
      <c r="I8" s="3" t="s">
        <v>1395</v>
      </c>
      <c r="J8" s="3" t="s">
        <v>1399</v>
      </c>
      <c r="K8" s="3" t="s">
        <v>66</v>
      </c>
      <c r="L8" s="3" t="s">
        <v>78</v>
      </c>
      <c r="M8" s="3" t="s">
        <v>51</v>
      </c>
      <c r="N8" s="3" t="s">
        <v>67</v>
      </c>
      <c r="O8" s="3" t="s">
        <v>68</v>
      </c>
      <c r="P8" s="3" t="s">
        <v>85</v>
      </c>
      <c r="Q8" s="3" t="s">
        <v>50</v>
      </c>
      <c r="R8" s="3" t="s">
        <v>69</v>
      </c>
      <c r="S8" s="3" t="s">
        <v>70</v>
      </c>
      <c r="T8" s="3" t="s">
        <v>71</v>
      </c>
      <c r="U8" s="3" t="s">
        <v>72</v>
      </c>
      <c r="V8" s="3" t="s">
        <v>73</v>
      </c>
      <c r="W8" s="3" t="s">
        <v>74</v>
      </c>
      <c r="X8" s="3" t="s">
        <v>75</v>
      </c>
      <c r="Y8" s="3" t="s">
        <v>76</v>
      </c>
      <c r="Z8" s="3" t="s">
        <v>77</v>
      </c>
    </row>
    <row r="9" spans="1:26">
      <c r="A9" s="65" t="s">
        <v>1428</v>
      </c>
      <c r="B9" s="4" t="s">
        <v>1402</v>
      </c>
      <c r="C9" s="17" t="s">
        <v>1403</v>
      </c>
      <c r="D9" s="17" t="s">
        <v>1404</v>
      </c>
      <c r="E9" s="17" t="s">
        <v>1405</v>
      </c>
      <c r="F9" s="8" t="s">
        <v>56</v>
      </c>
      <c r="G9" s="7" t="s">
        <v>4</v>
      </c>
      <c r="H9" s="37" t="str">
        <f>_xlfn.IFS(G9="integer","integer",G9="number","number",G9="boolean","boolean",TRUE,"string")</f>
        <v>string</v>
      </c>
      <c r="I9" s="37" t="str">
        <f>_xlfn.IFS(G9="date","date",G9="markdown","markdown",G9="time", "time",G9="uri","uri",G9="uuid","uuid",TRUE,"")</f>
        <v/>
      </c>
      <c r="J9" s="37" t="str">
        <f t="shared" ref="J9:J18" si="0">_xlfn.IFS(G9="textarea","textarea",TRUE,"")</f>
        <v/>
      </c>
      <c r="K9" s="28"/>
      <c r="L9" s="28"/>
      <c r="M9" s="19"/>
      <c r="N9" s="19" t="s">
        <v>1446</v>
      </c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66"/>
      <c r="B10" s="4" t="s">
        <v>1402</v>
      </c>
      <c r="C10" s="17" t="s">
        <v>1406</v>
      </c>
      <c r="D10" s="17" t="s">
        <v>1407</v>
      </c>
      <c r="E10" s="17" t="s">
        <v>1408</v>
      </c>
      <c r="F10" s="8" t="s">
        <v>56</v>
      </c>
      <c r="G10" s="7" t="s">
        <v>4</v>
      </c>
      <c r="H10" s="37" t="str">
        <f t="shared" ref="H10:H18" si="1">_xlfn.IFS(G10="integer","integer",G10="number","number",G10="boolean","boolean",TRUE,"string")</f>
        <v>string</v>
      </c>
      <c r="I10" s="37" t="str">
        <f t="shared" ref="I10:I18" si="2">_xlfn.IFS(G10="date","date",G10="markdown","markdown",G10="time", "time",G10="uri","uri",G10="uuid","uuid",TRUE,"")</f>
        <v/>
      </c>
      <c r="J10" s="37" t="str">
        <f t="shared" si="0"/>
        <v/>
      </c>
      <c r="K10" s="28"/>
      <c r="L10" s="28"/>
      <c r="M10" s="19"/>
      <c r="N10" s="19" t="s">
        <v>1406</v>
      </c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8.75" customHeight="1">
      <c r="A11" s="66"/>
      <c r="B11" s="4" t="s">
        <v>1402</v>
      </c>
      <c r="C11" s="17" t="s">
        <v>1410</v>
      </c>
      <c r="D11" s="17" t="s">
        <v>1409</v>
      </c>
      <c r="E11" s="17" t="s">
        <v>1411</v>
      </c>
      <c r="F11" s="8" t="s">
        <v>56</v>
      </c>
      <c r="G11" s="7" t="s">
        <v>1426</v>
      </c>
      <c r="H11" s="37" t="str">
        <f t="shared" si="1"/>
        <v>string</v>
      </c>
      <c r="I11" s="37" t="str">
        <f t="shared" si="2"/>
        <v/>
      </c>
      <c r="J11" s="37" t="str">
        <f t="shared" si="0"/>
        <v>textarea</v>
      </c>
      <c r="K11" s="28">
        <v>2</v>
      </c>
      <c r="L11" s="28"/>
      <c r="M11" s="19"/>
      <c r="N11" s="19" t="s">
        <v>1447</v>
      </c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66"/>
      <c r="B12" s="4" t="s">
        <v>1402</v>
      </c>
      <c r="C12" s="17" t="s">
        <v>1412</v>
      </c>
      <c r="D12" s="17" t="s">
        <v>1413</v>
      </c>
      <c r="E12" s="17" t="s">
        <v>1414</v>
      </c>
      <c r="F12" s="8" t="s">
        <v>56</v>
      </c>
      <c r="G12" s="7" t="s">
        <v>1426</v>
      </c>
      <c r="H12" s="37" t="str">
        <f t="shared" si="1"/>
        <v>string</v>
      </c>
      <c r="I12" s="37" t="str">
        <f t="shared" si="2"/>
        <v/>
      </c>
      <c r="J12" s="37" t="str">
        <f t="shared" si="0"/>
        <v>textarea</v>
      </c>
      <c r="K12" s="28">
        <v>5</v>
      </c>
      <c r="L12" s="28"/>
      <c r="M12" s="19"/>
      <c r="N12" s="19" t="s">
        <v>1412</v>
      </c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66"/>
      <c r="B13" s="4" t="s">
        <v>1402</v>
      </c>
      <c r="C13" s="17" t="s">
        <v>1415</v>
      </c>
      <c r="D13" s="17" t="s">
        <v>1416</v>
      </c>
      <c r="E13" s="17" t="s">
        <v>1417</v>
      </c>
      <c r="F13" s="8" t="s">
        <v>56</v>
      </c>
      <c r="G13" s="7" t="s">
        <v>1426</v>
      </c>
      <c r="H13" s="37" t="str">
        <f t="shared" si="1"/>
        <v>string</v>
      </c>
      <c r="I13" s="37" t="str">
        <f t="shared" si="2"/>
        <v/>
      </c>
      <c r="J13" s="37" t="str">
        <f t="shared" si="0"/>
        <v>textarea</v>
      </c>
      <c r="K13" s="28">
        <v>5</v>
      </c>
      <c r="L13" s="28"/>
      <c r="M13" s="19"/>
      <c r="N13" s="19" t="s">
        <v>1415</v>
      </c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66"/>
      <c r="B14" s="4" t="s">
        <v>1402</v>
      </c>
      <c r="C14" s="17" t="s">
        <v>1418</v>
      </c>
      <c r="D14" s="17" t="s">
        <v>1419</v>
      </c>
      <c r="E14" s="17" t="s">
        <v>1420</v>
      </c>
      <c r="F14" s="8" t="s">
        <v>56</v>
      </c>
      <c r="G14" s="7" t="s">
        <v>1426</v>
      </c>
      <c r="H14" s="37" t="str">
        <f t="shared" si="1"/>
        <v>string</v>
      </c>
      <c r="I14" s="37" t="str">
        <f t="shared" si="2"/>
        <v/>
      </c>
      <c r="J14" s="37" t="str">
        <f t="shared" si="0"/>
        <v>textarea</v>
      </c>
      <c r="K14" s="28">
        <v>5</v>
      </c>
      <c r="L14" s="28"/>
      <c r="M14" s="19"/>
      <c r="N14" s="19" t="s">
        <v>1418</v>
      </c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66"/>
      <c r="B15" s="4" t="s">
        <v>1402</v>
      </c>
      <c r="C15" s="17" t="s">
        <v>1421</v>
      </c>
      <c r="D15" s="17" t="s">
        <v>1422</v>
      </c>
      <c r="E15" s="17" t="s">
        <v>1423</v>
      </c>
      <c r="F15" s="8" t="s">
        <v>56</v>
      </c>
      <c r="G15" s="7" t="s">
        <v>1426</v>
      </c>
      <c r="H15" s="37" t="str">
        <f t="shared" si="1"/>
        <v>string</v>
      </c>
      <c r="I15" s="37" t="str">
        <f t="shared" si="2"/>
        <v/>
      </c>
      <c r="J15" s="37" t="str">
        <f t="shared" si="0"/>
        <v>textarea</v>
      </c>
      <c r="K15" s="28">
        <v>5</v>
      </c>
      <c r="L15" s="28"/>
      <c r="M15" s="19"/>
      <c r="N15" s="19" t="s">
        <v>1421</v>
      </c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66"/>
      <c r="B16" s="4" t="s">
        <v>1402</v>
      </c>
      <c r="C16" s="17" t="s">
        <v>1448</v>
      </c>
      <c r="D16" s="17" t="s">
        <v>1424</v>
      </c>
      <c r="E16" s="17" t="s">
        <v>1425</v>
      </c>
      <c r="F16" s="8" t="s">
        <v>56</v>
      </c>
      <c r="G16" s="7" t="s">
        <v>1426</v>
      </c>
      <c r="H16" s="37" t="str">
        <f t="shared" si="1"/>
        <v>string</v>
      </c>
      <c r="I16" s="37" t="str">
        <f t="shared" si="2"/>
        <v/>
      </c>
      <c r="J16" s="37" t="str">
        <f t="shared" si="0"/>
        <v>textarea</v>
      </c>
      <c r="K16" s="28">
        <v>5</v>
      </c>
      <c r="L16" s="28"/>
      <c r="M16" s="19"/>
      <c r="N16" s="19" t="s">
        <v>1448</v>
      </c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66"/>
      <c r="B17" s="4" t="s">
        <v>44</v>
      </c>
      <c r="C17" s="17"/>
      <c r="D17" s="17"/>
      <c r="E17" s="17"/>
      <c r="F17" s="8" t="s">
        <v>56</v>
      </c>
      <c r="G17" s="7" t="s">
        <v>4</v>
      </c>
      <c r="H17" s="37" t="str">
        <f t="shared" si="1"/>
        <v>string</v>
      </c>
      <c r="I17" s="37" t="str">
        <f t="shared" si="2"/>
        <v/>
      </c>
      <c r="J17" s="37" t="str">
        <f t="shared" si="0"/>
        <v/>
      </c>
      <c r="K17" s="28">
        <v>3</v>
      </c>
      <c r="L17" s="28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67"/>
      <c r="B18" s="4" t="s">
        <v>44</v>
      </c>
      <c r="C18" s="17"/>
      <c r="D18" s="17"/>
      <c r="E18" s="17"/>
      <c r="F18" s="8" t="s">
        <v>56</v>
      </c>
      <c r="G18" s="7" t="s">
        <v>4</v>
      </c>
      <c r="H18" s="37" t="str">
        <f t="shared" si="1"/>
        <v>string</v>
      </c>
      <c r="I18" s="37" t="str">
        <f t="shared" si="2"/>
        <v/>
      </c>
      <c r="J18" s="37" t="str">
        <f t="shared" si="0"/>
        <v/>
      </c>
      <c r="K18" s="28"/>
      <c r="L18" s="28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10" priority="9">
      <formula>ISBLANK(B1)</formula>
    </cfRule>
  </conditionalFormatting>
  <conditionalFormatting sqref="B1:B1048576">
    <cfRule type="cellIs" dxfId="9" priority="14" operator="equal">
      <formula>"OFF"</formula>
    </cfRule>
    <cfRule type="cellIs" dxfId="8" priority="15" operator="equal">
      <formula>"ON"</formula>
    </cfRule>
  </conditionalFormatting>
  <conditionalFormatting sqref="C1:E1048576 G1:G1048576">
    <cfRule type="expression" dxfId="7" priority="10">
      <formula>AND($B1="ON",ISBLANK(C1))</formula>
    </cfRule>
  </conditionalFormatting>
  <conditionalFormatting sqref="K1:K1048576">
    <cfRule type="expression" dxfId="6" priority="1">
      <formula>AND($B1="ON",$G1&lt;&gt;"textarea")</formula>
    </cfRule>
    <cfRule type="expression" dxfId="5" priority="4">
      <formula>AND($B1="ON",$G1="textarea",ISBLANK($K1))</formula>
    </cfRule>
    <cfRule type="expression" dxfId="4" priority="18">
      <formula>AND($B1="ON",$G1="textarea")</formula>
    </cfRule>
  </conditionalFormatting>
  <conditionalFormatting sqref="L1:L1048576">
    <cfRule type="expression" dxfId="3" priority="2">
      <formula>AND($B1="ON",$G1&lt;&gt;"list")</formula>
    </cfRule>
    <cfRule type="expression" dxfId="2" priority="7">
      <formula>AND($B1="ON",$G1="list",ISBLANK($L1))</formula>
    </cfRule>
    <cfRule type="expression" dxfId="1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9" t="s">
        <v>86</v>
      </c>
      <c r="B1" s="29" t="s">
        <v>87</v>
      </c>
      <c r="C1" s="29" t="s">
        <v>88</v>
      </c>
      <c r="D1" s="29" t="s">
        <v>89</v>
      </c>
      <c r="E1" s="29" t="s">
        <v>90</v>
      </c>
      <c r="F1" s="29" t="s">
        <v>91</v>
      </c>
      <c r="G1" s="29" t="s">
        <v>92</v>
      </c>
    </row>
    <row r="2" spans="1:7">
      <c r="A2" s="29" t="s">
        <v>93</v>
      </c>
      <c r="B2" s="29" t="s">
        <v>94</v>
      </c>
      <c r="C2" s="29" t="s">
        <v>95</v>
      </c>
      <c r="D2" s="29"/>
      <c r="E2" s="29"/>
      <c r="F2" s="29" t="s">
        <v>96</v>
      </c>
      <c r="G2" s="29" t="s">
        <v>97</v>
      </c>
    </row>
    <row r="3" spans="1:7">
      <c r="A3" s="29" t="s">
        <v>98</v>
      </c>
      <c r="B3" s="29" t="s">
        <v>99</v>
      </c>
      <c r="C3" s="29" t="s">
        <v>100</v>
      </c>
      <c r="D3" s="29"/>
      <c r="E3" s="29"/>
      <c r="F3" s="29" t="s">
        <v>101</v>
      </c>
      <c r="G3" s="29" t="s">
        <v>97</v>
      </c>
    </row>
    <row r="4" spans="1:7">
      <c r="A4" s="29" t="s">
        <v>102</v>
      </c>
      <c r="B4" s="29" t="s">
        <v>103</v>
      </c>
      <c r="C4" s="29" t="s">
        <v>104</v>
      </c>
      <c r="D4" s="29"/>
      <c r="E4" s="29"/>
      <c r="F4" s="29" t="s">
        <v>105</v>
      </c>
      <c r="G4" s="29" t="s">
        <v>97</v>
      </c>
    </row>
    <row r="5" spans="1:7">
      <c r="A5" s="29" t="s">
        <v>106</v>
      </c>
      <c r="B5" s="29" t="s">
        <v>107</v>
      </c>
      <c r="C5" s="29" t="s">
        <v>108</v>
      </c>
      <c r="D5" s="29"/>
      <c r="E5" s="29"/>
      <c r="F5" s="29" t="s">
        <v>109</v>
      </c>
      <c r="G5" s="29" t="s">
        <v>97</v>
      </c>
    </row>
    <row r="6" spans="1:7">
      <c r="A6" s="29" t="s">
        <v>110</v>
      </c>
      <c r="B6" s="29" t="s">
        <v>111</v>
      </c>
      <c r="C6" s="29" t="s">
        <v>112</v>
      </c>
      <c r="D6" s="29"/>
      <c r="E6" s="29"/>
      <c r="F6" s="29" t="s">
        <v>113</v>
      </c>
      <c r="G6" s="29" t="s">
        <v>97</v>
      </c>
    </row>
    <row r="7" spans="1:7">
      <c r="A7" s="29" t="s">
        <v>114</v>
      </c>
      <c r="B7" s="29" t="s">
        <v>115</v>
      </c>
      <c r="C7" s="29" t="s">
        <v>116</v>
      </c>
      <c r="D7" s="29"/>
      <c r="E7" s="29"/>
      <c r="F7" s="29" t="s">
        <v>117</v>
      </c>
      <c r="G7" s="29" t="s">
        <v>97</v>
      </c>
    </row>
    <row r="8" spans="1:7">
      <c r="A8" s="29" t="s">
        <v>118</v>
      </c>
      <c r="B8" s="29" t="s">
        <v>119</v>
      </c>
      <c r="C8" s="29" t="s">
        <v>120</v>
      </c>
      <c r="D8" s="29"/>
      <c r="E8" s="29"/>
      <c r="F8" s="29" t="s">
        <v>121</v>
      </c>
      <c r="G8" s="29" t="s">
        <v>97</v>
      </c>
    </row>
    <row r="9" spans="1:7">
      <c r="A9" s="29" t="s">
        <v>122</v>
      </c>
      <c r="B9" s="29" t="s">
        <v>123</v>
      </c>
      <c r="C9" s="29" t="s">
        <v>124</v>
      </c>
      <c r="D9" s="29"/>
      <c r="E9" s="29"/>
      <c r="F9" s="29" t="s">
        <v>125</v>
      </c>
      <c r="G9" s="29" t="s">
        <v>97</v>
      </c>
    </row>
    <row r="10" spans="1:7">
      <c r="A10" s="29" t="s">
        <v>126</v>
      </c>
      <c r="B10" s="29" t="s">
        <v>127</v>
      </c>
      <c r="C10" s="29" t="s">
        <v>128</v>
      </c>
      <c r="D10" s="29"/>
      <c r="E10" s="29"/>
      <c r="F10" s="29" t="s">
        <v>129</v>
      </c>
      <c r="G10" s="29" t="s">
        <v>97</v>
      </c>
    </row>
    <row r="11" spans="1:7">
      <c r="A11" s="29" t="s">
        <v>130</v>
      </c>
      <c r="B11" s="29" t="s">
        <v>131</v>
      </c>
      <c r="C11" s="29" t="s">
        <v>132</v>
      </c>
      <c r="D11" s="29"/>
      <c r="E11" s="29"/>
      <c r="F11" s="29" t="s">
        <v>133</v>
      </c>
      <c r="G11" s="29" t="s">
        <v>97</v>
      </c>
    </row>
    <row r="12" spans="1:7">
      <c r="A12" s="29" t="s">
        <v>134</v>
      </c>
      <c r="B12" s="29" t="s">
        <v>135</v>
      </c>
      <c r="C12" s="29" t="s">
        <v>136</v>
      </c>
      <c r="D12" s="29"/>
      <c r="E12" s="29"/>
      <c r="F12" s="29" t="s">
        <v>137</v>
      </c>
      <c r="G12" s="29" t="s">
        <v>97</v>
      </c>
    </row>
    <row r="13" spans="1:7">
      <c r="A13" s="29" t="s">
        <v>138</v>
      </c>
      <c r="B13" s="29" t="s">
        <v>139</v>
      </c>
      <c r="C13" s="29" t="s">
        <v>140</v>
      </c>
      <c r="D13" s="29"/>
      <c r="E13" s="29"/>
      <c r="F13" s="29" t="s">
        <v>141</v>
      </c>
      <c r="G13" s="29" t="s">
        <v>97</v>
      </c>
    </row>
    <row r="14" spans="1:7">
      <c r="A14" s="29" t="s">
        <v>142</v>
      </c>
      <c r="B14" s="29" t="s">
        <v>143</v>
      </c>
      <c r="C14" s="29" t="s">
        <v>144</v>
      </c>
      <c r="D14" s="29"/>
      <c r="E14" s="29"/>
      <c r="F14" s="29" t="s">
        <v>145</v>
      </c>
      <c r="G14" s="29" t="s">
        <v>97</v>
      </c>
    </row>
    <row r="15" spans="1:7">
      <c r="A15" s="29" t="s">
        <v>146</v>
      </c>
      <c r="B15" s="29" t="s">
        <v>147</v>
      </c>
      <c r="C15" s="29" t="s">
        <v>148</v>
      </c>
      <c r="D15" s="29"/>
      <c r="E15" s="29"/>
      <c r="F15" s="29" t="s">
        <v>149</v>
      </c>
      <c r="G15" s="29" t="s">
        <v>97</v>
      </c>
    </row>
    <row r="16" spans="1:7">
      <c r="A16" s="29" t="s">
        <v>150</v>
      </c>
      <c r="B16" s="29" t="s">
        <v>151</v>
      </c>
      <c r="C16" s="29" t="s">
        <v>152</v>
      </c>
      <c r="D16" s="29"/>
      <c r="E16" s="29"/>
      <c r="F16" s="29" t="s">
        <v>153</v>
      </c>
      <c r="G16" s="29" t="s">
        <v>97</v>
      </c>
    </row>
    <row r="17" spans="1:7">
      <c r="A17" s="29" t="s">
        <v>154</v>
      </c>
      <c r="B17" s="29" t="s">
        <v>155</v>
      </c>
      <c r="C17" s="29" t="s">
        <v>156</v>
      </c>
      <c r="D17" s="29"/>
      <c r="E17" s="29"/>
      <c r="F17" s="29" t="s">
        <v>157</v>
      </c>
      <c r="G17" s="29" t="s">
        <v>97</v>
      </c>
    </row>
    <row r="18" spans="1:7">
      <c r="A18" s="29" t="s">
        <v>158</v>
      </c>
      <c r="B18" s="29" t="s">
        <v>159</v>
      </c>
      <c r="C18" s="29" t="s">
        <v>160</v>
      </c>
      <c r="D18" s="29"/>
      <c r="E18" s="29"/>
      <c r="F18" s="29" t="s">
        <v>161</v>
      </c>
      <c r="G18" s="29" t="s">
        <v>97</v>
      </c>
    </row>
    <row r="19" spans="1:7">
      <c r="A19" s="29" t="s">
        <v>162</v>
      </c>
      <c r="B19" s="29" t="s">
        <v>163</v>
      </c>
      <c r="C19" s="29" t="s">
        <v>164</v>
      </c>
      <c r="D19" s="29"/>
      <c r="E19" s="29"/>
      <c r="F19" s="29" t="s">
        <v>165</v>
      </c>
      <c r="G19" s="29" t="s">
        <v>97</v>
      </c>
    </row>
    <row r="20" spans="1:7">
      <c r="A20" s="29" t="s">
        <v>166</v>
      </c>
      <c r="B20" s="29" t="s">
        <v>167</v>
      </c>
      <c r="C20" s="29" t="s">
        <v>168</v>
      </c>
      <c r="D20" s="29"/>
      <c r="E20" s="29"/>
      <c r="F20" s="29" t="s">
        <v>169</v>
      </c>
      <c r="G20" s="29" t="s">
        <v>97</v>
      </c>
    </row>
    <row r="21" spans="1:7">
      <c r="A21" s="29" t="s">
        <v>170</v>
      </c>
      <c r="B21" s="29" t="s">
        <v>171</v>
      </c>
      <c r="C21" s="29" t="s">
        <v>172</v>
      </c>
      <c r="D21" s="29"/>
      <c r="E21" s="29"/>
      <c r="F21" s="29" t="s">
        <v>173</v>
      </c>
      <c r="G21" s="29" t="s">
        <v>97</v>
      </c>
    </row>
    <row r="22" spans="1:7">
      <c r="A22" s="29" t="s">
        <v>174</v>
      </c>
      <c r="B22" s="29" t="s">
        <v>175</v>
      </c>
      <c r="C22" s="29" t="s">
        <v>176</v>
      </c>
      <c r="D22" s="29"/>
      <c r="E22" s="29"/>
      <c r="F22" s="29" t="s">
        <v>177</v>
      </c>
      <c r="G22" s="29" t="s">
        <v>97</v>
      </c>
    </row>
    <row r="23" spans="1:7">
      <c r="A23" s="29" t="s">
        <v>178</v>
      </c>
      <c r="B23" s="29" t="s">
        <v>179</v>
      </c>
      <c r="C23" s="29" t="s">
        <v>180</v>
      </c>
      <c r="D23" s="29"/>
      <c r="E23" s="29"/>
      <c r="F23" s="29" t="s">
        <v>181</v>
      </c>
      <c r="G23" s="29" t="s">
        <v>97</v>
      </c>
    </row>
    <row r="24" spans="1:7">
      <c r="A24" s="29" t="s">
        <v>182</v>
      </c>
      <c r="B24" s="29" t="s">
        <v>183</v>
      </c>
      <c r="C24" s="29" t="s">
        <v>184</v>
      </c>
      <c r="D24" s="29"/>
      <c r="E24" s="29"/>
      <c r="F24" s="29" t="s">
        <v>185</v>
      </c>
      <c r="G24" s="29" t="s">
        <v>97</v>
      </c>
    </row>
    <row r="25" spans="1:7">
      <c r="A25" s="29" t="s">
        <v>186</v>
      </c>
      <c r="B25" s="29" t="s">
        <v>187</v>
      </c>
      <c r="C25" s="29" t="s">
        <v>188</v>
      </c>
      <c r="D25" s="29"/>
      <c r="E25" s="29"/>
      <c r="F25" s="29" t="s">
        <v>189</v>
      </c>
      <c r="G25" s="29" t="s">
        <v>97</v>
      </c>
    </row>
    <row r="26" spans="1:7">
      <c r="A26" s="29" t="s">
        <v>190</v>
      </c>
      <c r="B26" s="29" t="s">
        <v>191</v>
      </c>
      <c r="C26" s="29" t="s">
        <v>192</v>
      </c>
      <c r="D26" s="29"/>
      <c r="E26" s="29"/>
      <c r="F26" s="29" t="s">
        <v>193</v>
      </c>
      <c r="G26" s="29" t="s">
        <v>97</v>
      </c>
    </row>
    <row r="27" spans="1:7">
      <c r="A27" s="29" t="s">
        <v>194</v>
      </c>
      <c r="B27" s="29" t="s">
        <v>195</v>
      </c>
      <c r="C27" s="29" t="s">
        <v>196</v>
      </c>
      <c r="D27" s="29"/>
      <c r="E27" s="29"/>
      <c r="F27" s="29" t="s">
        <v>197</v>
      </c>
      <c r="G27" s="29" t="s">
        <v>97</v>
      </c>
    </row>
    <row r="28" spans="1:7">
      <c r="A28" s="29" t="s">
        <v>198</v>
      </c>
      <c r="B28" s="29" t="s">
        <v>199</v>
      </c>
      <c r="C28" s="29" t="s">
        <v>200</v>
      </c>
      <c r="D28" s="29"/>
      <c r="E28" s="29"/>
      <c r="F28" s="29" t="s">
        <v>201</v>
      </c>
      <c r="G28" s="29" t="s">
        <v>97</v>
      </c>
    </row>
    <row r="29" spans="1:7">
      <c r="A29" s="29" t="s">
        <v>202</v>
      </c>
      <c r="B29" s="29" t="s">
        <v>203</v>
      </c>
      <c r="C29" s="29" t="s">
        <v>204</v>
      </c>
      <c r="D29" s="29"/>
      <c r="E29" s="29"/>
      <c r="F29" s="29" t="s">
        <v>205</v>
      </c>
      <c r="G29" s="29" t="s">
        <v>97</v>
      </c>
    </row>
    <row r="30" spans="1:7">
      <c r="A30" s="29" t="s">
        <v>206</v>
      </c>
      <c r="B30" s="29" t="s">
        <v>207</v>
      </c>
      <c r="C30" s="29" t="s">
        <v>208</v>
      </c>
      <c r="D30" s="29"/>
      <c r="E30" s="29"/>
      <c r="F30" s="29" t="s">
        <v>209</v>
      </c>
      <c r="G30" s="29" t="s">
        <v>97</v>
      </c>
    </row>
    <row r="31" spans="1:7">
      <c r="A31" s="29" t="s">
        <v>210</v>
      </c>
      <c r="B31" s="29" t="s">
        <v>211</v>
      </c>
      <c r="C31" s="29" t="s">
        <v>212</v>
      </c>
      <c r="D31" s="29"/>
      <c r="E31" s="29"/>
      <c r="F31" s="29" t="s">
        <v>213</v>
      </c>
      <c r="G31" s="29" t="s">
        <v>97</v>
      </c>
    </row>
    <row r="32" spans="1:7">
      <c r="A32" s="29" t="s">
        <v>214</v>
      </c>
      <c r="B32" s="29" t="s">
        <v>215</v>
      </c>
      <c r="C32" s="29" t="s">
        <v>216</v>
      </c>
      <c r="D32" s="29"/>
      <c r="E32" s="29"/>
      <c r="F32" s="29" t="s">
        <v>217</v>
      </c>
      <c r="G32" s="29" t="s">
        <v>97</v>
      </c>
    </row>
    <row r="33" spans="1:7">
      <c r="A33" s="29" t="s">
        <v>218</v>
      </c>
      <c r="B33" s="29" t="s">
        <v>219</v>
      </c>
      <c r="C33" s="29" t="s">
        <v>220</v>
      </c>
      <c r="D33" s="29"/>
      <c r="E33" s="29"/>
      <c r="F33" s="29" t="s">
        <v>221</v>
      </c>
      <c r="G33" s="29" t="s">
        <v>97</v>
      </c>
    </row>
    <row r="34" spans="1:7">
      <c r="A34" s="29" t="s">
        <v>222</v>
      </c>
      <c r="B34" s="29" t="s">
        <v>223</v>
      </c>
      <c r="C34" s="29" t="s">
        <v>224</v>
      </c>
      <c r="D34" s="29"/>
      <c r="E34" s="29"/>
      <c r="F34" s="29" t="s">
        <v>225</v>
      </c>
      <c r="G34" s="29" t="s">
        <v>97</v>
      </c>
    </row>
    <row r="35" spans="1:7">
      <c r="A35" s="29" t="s">
        <v>226</v>
      </c>
      <c r="B35" s="29" t="s">
        <v>227</v>
      </c>
      <c r="C35" s="29" t="s">
        <v>228</v>
      </c>
      <c r="D35" s="29"/>
      <c r="E35" s="29"/>
      <c r="F35" s="29" t="s">
        <v>229</v>
      </c>
      <c r="G35" s="29" t="s">
        <v>97</v>
      </c>
    </row>
    <row r="36" spans="1:7">
      <c r="A36" s="29" t="s">
        <v>230</v>
      </c>
      <c r="B36" s="29" t="s">
        <v>231</v>
      </c>
      <c r="C36" s="29" t="s">
        <v>232</v>
      </c>
      <c r="D36" s="29"/>
      <c r="E36" s="29"/>
      <c r="F36" s="29" t="s">
        <v>233</v>
      </c>
      <c r="G36" s="29" t="s">
        <v>97</v>
      </c>
    </row>
    <row r="37" spans="1:7">
      <c r="A37" s="29" t="s">
        <v>234</v>
      </c>
      <c r="B37" s="29" t="s">
        <v>235</v>
      </c>
      <c r="C37" s="29" t="s">
        <v>236</v>
      </c>
      <c r="D37" s="29"/>
      <c r="E37" s="29"/>
      <c r="F37" s="29" t="s">
        <v>237</v>
      </c>
      <c r="G37" s="29" t="s">
        <v>97</v>
      </c>
    </row>
    <row r="38" spans="1:7">
      <c r="A38" s="29" t="s">
        <v>238</v>
      </c>
      <c r="B38" s="29" t="s">
        <v>239</v>
      </c>
      <c r="C38" s="29" t="s">
        <v>240</v>
      </c>
      <c r="D38" s="29"/>
      <c r="E38" s="29"/>
      <c r="F38" s="29" t="s">
        <v>241</v>
      </c>
      <c r="G38" s="29" t="s">
        <v>97</v>
      </c>
    </row>
    <row r="39" spans="1:7">
      <c r="A39" s="29" t="s">
        <v>242</v>
      </c>
      <c r="B39" s="29" t="s">
        <v>243</v>
      </c>
      <c r="C39" s="29" t="s">
        <v>244</v>
      </c>
      <c r="D39" s="29"/>
      <c r="E39" s="29"/>
      <c r="F39" s="29" t="s">
        <v>245</v>
      </c>
      <c r="G39" s="29" t="s">
        <v>97</v>
      </c>
    </row>
    <row r="40" spans="1:7">
      <c r="A40" s="29" t="s">
        <v>246</v>
      </c>
      <c r="B40" s="29" t="s">
        <v>247</v>
      </c>
      <c r="C40" s="29" t="s">
        <v>248</v>
      </c>
      <c r="D40" s="29"/>
      <c r="E40" s="29"/>
      <c r="F40" s="29" t="s">
        <v>249</v>
      </c>
      <c r="G40" s="29" t="s">
        <v>97</v>
      </c>
    </row>
    <row r="41" spans="1:7">
      <c r="A41" s="29" t="s">
        <v>250</v>
      </c>
      <c r="B41" s="29" t="s">
        <v>251</v>
      </c>
      <c r="C41" s="29" t="s">
        <v>252</v>
      </c>
      <c r="D41" s="29"/>
      <c r="E41" s="29"/>
      <c r="F41" s="29" t="s">
        <v>253</v>
      </c>
      <c r="G41" s="29" t="s">
        <v>97</v>
      </c>
    </row>
    <row r="42" spans="1:7">
      <c r="A42" s="29" t="s">
        <v>254</v>
      </c>
      <c r="B42" s="29" t="s">
        <v>255</v>
      </c>
      <c r="C42" s="29" t="s">
        <v>256</v>
      </c>
      <c r="D42" s="29"/>
      <c r="E42" s="29"/>
      <c r="F42" s="29" t="s">
        <v>257</v>
      </c>
      <c r="G42" s="29" t="s">
        <v>97</v>
      </c>
    </row>
    <row r="43" spans="1:7">
      <c r="A43" s="29" t="s">
        <v>258</v>
      </c>
      <c r="B43" s="29" t="s">
        <v>259</v>
      </c>
      <c r="C43" s="29" t="s">
        <v>260</v>
      </c>
      <c r="D43" s="29"/>
      <c r="E43" s="29"/>
      <c r="F43" s="29" t="s">
        <v>261</v>
      </c>
      <c r="G43" s="29" t="s">
        <v>97</v>
      </c>
    </row>
    <row r="44" spans="1:7">
      <c r="A44" s="29" t="s">
        <v>262</v>
      </c>
      <c r="B44" s="29" t="s">
        <v>263</v>
      </c>
      <c r="C44" s="29" t="s">
        <v>264</v>
      </c>
      <c r="D44" s="29"/>
      <c r="E44" s="29"/>
      <c r="F44" s="29" t="s">
        <v>265</v>
      </c>
      <c r="G44" s="29" t="s">
        <v>97</v>
      </c>
    </row>
    <row r="45" spans="1:7">
      <c r="A45" s="29" t="s">
        <v>266</v>
      </c>
      <c r="B45" s="29" t="s">
        <v>267</v>
      </c>
      <c r="C45" s="29" t="s">
        <v>268</v>
      </c>
      <c r="D45" s="29"/>
      <c r="E45" s="29"/>
      <c r="F45" s="29" t="s">
        <v>269</v>
      </c>
      <c r="G45" s="29" t="s">
        <v>97</v>
      </c>
    </row>
    <row r="46" spans="1:7">
      <c r="A46" s="29" t="s">
        <v>270</v>
      </c>
      <c r="B46" s="29" t="s">
        <v>271</v>
      </c>
      <c r="C46" s="29" t="s">
        <v>272</v>
      </c>
      <c r="D46" s="29"/>
      <c r="E46" s="29"/>
      <c r="F46" s="29" t="s">
        <v>273</v>
      </c>
      <c r="G46" s="29" t="s">
        <v>97</v>
      </c>
    </row>
    <row r="47" spans="1:7">
      <c r="A47" s="29" t="s">
        <v>274</v>
      </c>
      <c r="B47" s="29" t="s">
        <v>275</v>
      </c>
      <c r="C47" s="29" t="s">
        <v>276</v>
      </c>
      <c r="D47" s="29"/>
      <c r="E47" s="29"/>
      <c r="F47" s="29" t="s">
        <v>277</v>
      </c>
      <c r="G47" s="29" t="s">
        <v>97</v>
      </c>
    </row>
    <row r="48" spans="1:7">
      <c r="A48" s="29" t="s">
        <v>278</v>
      </c>
      <c r="B48" s="29" t="s">
        <v>279</v>
      </c>
      <c r="C48" s="29" t="s">
        <v>280</v>
      </c>
      <c r="D48" s="29"/>
      <c r="E48" s="29"/>
      <c r="F48" s="29" t="s">
        <v>281</v>
      </c>
      <c r="G48" s="29" t="s">
        <v>97</v>
      </c>
    </row>
    <row r="49" spans="1:7">
      <c r="A49" s="29" t="s">
        <v>282</v>
      </c>
      <c r="B49" s="29" t="s">
        <v>283</v>
      </c>
      <c r="C49" s="29" t="s">
        <v>284</v>
      </c>
      <c r="D49" s="29"/>
      <c r="E49" s="29"/>
      <c r="F49" s="29" t="s">
        <v>285</v>
      </c>
      <c r="G49" s="29" t="s">
        <v>97</v>
      </c>
    </row>
    <row r="50" spans="1:7">
      <c r="A50" s="29" t="s">
        <v>286</v>
      </c>
      <c r="B50" s="29" t="s">
        <v>287</v>
      </c>
      <c r="C50" s="29" t="s">
        <v>288</v>
      </c>
      <c r="D50" s="29"/>
      <c r="E50" s="29"/>
      <c r="F50" s="29" t="s">
        <v>289</v>
      </c>
      <c r="G50" s="29" t="s">
        <v>97</v>
      </c>
    </row>
    <row r="51" spans="1:7">
      <c r="A51" s="29" t="s">
        <v>290</v>
      </c>
      <c r="B51" s="29" t="s">
        <v>291</v>
      </c>
      <c r="C51" s="29" t="s">
        <v>292</v>
      </c>
      <c r="D51" s="29"/>
      <c r="E51" s="29"/>
      <c r="F51" s="29" t="s">
        <v>293</v>
      </c>
      <c r="G51" s="29" t="s">
        <v>97</v>
      </c>
    </row>
    <row r="52" spans="1:7">
      <c r="A52" s="29" t="s">
        <v>294</v>
      </c>
      <c r="B52" s="29" t="s">
        <v>295</v>
      </c>
      <c r="C52" s="29" t="s">
        <v>296</v>
      </c>
      <c r="D52" s="29"/>
      <c r="E52" s="29"/>
      <c r="F52" s="29" t="s">
        <v>297</v>
      </c>
      <c r="G52" s="29" t="s">
        <v>97</v>
      </c>
    </row>
    <row r="53" spans="1:7">
      <c r="A53" s="29" t="s">
        <v>298</v>
      </c>
      <c r="B53" s="29" t="s">
        <v>299</v>
      </c>
      <c r="C53" s="29" t="s">
        <v>300</v>
      </c>
      <c r="D53" s="29"/>
      <c r="E53" s="29"/>
      <c r="F53" s="29" t="s">
        <v>301</v>
      </c>
      <c r="G53" s="29" t="s">
        <v>97</v>
      </c>
    </row>
    <row r="54" spans="1:7">
      <c r="A54" s="29" t="s">
        <v>302</v>
      </c>
      <c r="B54" s="29" t="s">
        <v>303</v>
      </c>
      <c r="C54" s="29" t="s">
        <v>304</v>
      </c>
      <c r="D54" s="29"/>
      <c r="E54" s="29"/>
      <c r="F54" s="29" t="s">
        <v>305</v>
      </c>
      <c r="G54" s="29" t="s">
        <v>97</v>
      </c>
    </row>
    <row r="55" spans="1:7">
      <c r="A55" s="29" t="s">
        <v>306</v>
      </c>
      <c r="B55" s="29" t="s">
        <v>307</v>
      </c>
      <c r="C55" s="29" t="s">
        <v>308</v>
      </c>
      <c r="D55" s="29"/>
      <c r="E55" s="29"/>
      <c r="F55" s="29" t="s">
        <v>309</v>
      </c>
      <c r="G55" s="29" t="s">
        <v>97</v>
      </c>
    </row>
    <row r="56" spans="1:7">
      <c r="A56" s="29" t="s">
        <v>310</v>
      </c>
      <c r="B56" s="29" t="s">
        <v>311</v>
      </c>
      <c r="C56" s="29" t="s">
        <v>312</v>
      </c>
      <c r="D56" s="29"/>
      <c r="E56" s="29"/>
      <c r="F56" s="29" t="s">
        <v>313</v>
      </c>
      <c r="G56" s="29" t="s">
        <v>97</v>
      </c>
    </row>
    <row r="57" spans="1:7">
      <c r="A57" s="29" t="s">
        <v>314</v>
      </c>
      <c r="B57" s="29" t="s">
        <v>315</v>
      </c>
      <c r="C57" s="29" t="s">
        <v>316</v>
      </c>
      <c r="D57" s="29"/>
      <c r="E57" s="29"/>
      <c r="F57" s="29" t="s">
        <v>317</v>
      </c>
      <c r="G57" s="29" t="s">
        <v>97</v>
      </c>
    </row>
    <row r="58" spans="1:7">
      <c r="A58" s="29" t="s">
        <v>318</v>
      </c>
      <c r="B58" s="29" t="s">
        <v>319</v>
      </c>
      <c r="C58" s="29" t="s">
        <v>320</v>
      </c>
      <c r="D58" s="29"/>
      <c r="E58" s="29"/>
      <c r="F58" s="29" t="s">
        <v>321</v>
      </c>
      <c r="G58" s="29" t="s">
        <v>97</v>
      </c>
    </row>
    <row r="59" spans="1:7">
      <c r="A59" s="29" t="s">
        <v>322</v>
      </c>
      <c r="B59" s="29" t="s">
        <v>323</v>
      </c>
      <c r="C59" s="29" t="s">
        <v>324</v>
      </c>
      <c r="D59" s="29"/>
      <c r="E59" s="29"/>
      <c r="F59" s="29" t="s">
        <v>325</v>
      </c>
      <c r="G59" s="29" t="s">
        <v>97</v>
      </c>
    </row>
    <row r="60" spans="1:7">
      <c r="A60" s="29" t="s">
        <v>326</v>
      </c>
      <c r="B60" s="29" t="s">
        <v>327</v>
      </c>
      <c r="C60" s="29" t="s">
        <v>328</v>
      </c>
      <c r="D60" s="29"/>
      <c r="E60" s="29"/>
      <c r="F60" s="29" t="s">
        <v>329</v>
      </c>
      <c r="G60" s="29" t="s">
        <v>97</v>
      </c>
    </row>
    <row r="61" spans="1:7">
      <c r="A61" s="29" t="s">
        <v>330</v>
      </c>
      <c r="B61" s="29" t="s">
        <v>331</v>
      </c>
      <c r="C61" s="29" t="s">
        <v>332</v>
      </c>
      <c r="D61" s="29"/>
      <c r="E61" s="29"/>
      <c r="F61" s="29" t="s">
        <v>333</v>
      </c>
      <c r="G61" s="29" t="s">
        <v>97</v>
      </c>
    </row>
    <row r="62" spans="1:7">
      <c r="A62" s="29" t="s">
        <v>334</v>
      </c>
      <c r="B62" s="29" t="s">
        <v>335</v>
      </c>
      <c r="C62" s="29" t="s">
        <v>336</v>
      </c>
      <c r="D62" s="29"/>
      <c r="E62" s="29"/>
      <c r="F62" s="29" t="s">
        <v>337</v>
      </c>
      <c r="G62" s="29" t="s">
        <v>97</v>
      </c>
    </row>
    <row r="63" spans="1:7">
      <c r="A63" s="29" t="s">
        <v>338</v>
      </c>
      <c r="B63" s="29" t="s">
        <v>339</v>
      </c>
      <c r="C63" s="29" t="s">
        <v>340</v>
      </c>
      <c r="D63" s="29"/>
      <c r="E63" s="29"/>
      <c r="F63" s="29" t="s">
        <v>341</v>
      </c>
      <c r="G63" s="29" t="s">
        <v>97</v>
      </c>
    </row>
    <row r="64" spans="1:7">
      <c r="A64" s="29" t="s">
        <v>342</v>
      </c>
      <c r="B64" s="29" t="s">
        <v>343</v>
      </c>
      <c r="C64" s="29" t="s">
        <v>344</v>
      </c>
      <c r="D64" s="29"/>
      <c r="E64" s="29"/>
      <c r="F64" s="29" t="s">
        <v>345</v>
      </c>
      <c r="G64" s="29" t="s">
        <v>97</v>
      </c>
    </row>
    <row r="65" spans="1:7">
      <c r="A65" s="29" t="s">
        <v>346</v>
      </c>
      <c r="B65" s="29" t="s">
        <v>347</v>
      </c>
      <c r="C65" s="29" t="s">
        <v>348</v>
      </c>
      <c r="D65" s="29"/>
      <c r="E65" s="29"/>
      <c r="F65" s="29" t="s">
        <v>349</v>
      </c>
      <c r="G65" s="29" t="s">
        <v>97</v>
      </c>
    </row>
    <row r="66" spans="1:7">
      <c r="A66" s="29" t="s">
        <v>350</v>
      </c>
      <c r="B66" s="29" t="s">
        <v>351</v>
      </c>
      <c r="C66" s="29" t="s">
        <v>352</v>
      </c>
      <c r="D66" s="29"/>
      <c r="E66" s="29"/>
      <c r="F66" s="29" t="s">
        <v>353</v>
      </c>
      <c r="G66" s="29" t="s">
        <v>97</v>
      </c>
    </row>
    <row r="67" spans="1:7">
      <c r="A67" s="29" t="s">
        <v>354</v>
      </c>
      <c r="B67" s="29" t="s">
        <v>355</v>
      </c>
      <c r="C67" s="29" t="s">
        <v>356</v>
      </c>
      <c r="D67" s="29"/>
      <c r="E67" s="29"/>
      <c r="F67" s="29" t="s">
        <v>357</v>
      </c>
      <c r="G67" s="29" t="s">
        <v>97</v>
      </c>
    </row>
    <row r="68" spans="1:7">
      <c r="A68" s="29" t="s">
        <v>358</v>
      </c>
      <c r="B68" s="29" t="s">
        <v>359</v>
      </c>
      <c r="C68" s="29" t="s">
        <v>360</v>
      </c>
      <c r="D68" s="29"/>
      <c r="E68" s="29"/>
      <c r="F68" s="29" t="s">
        <v>361</v>
      </c>
      <c r="G68" s="29" t="s">
        <v>97</v>
      </c>
    </row>
    <row r="69" spans="1:7">
      <c r="A69" s="29" t="s">
        <v>362</v>
      </c>
      <c r="B69" s="29" t="s">
        <v>363</v>
      </c>
      <c r="C69" s="29" t="s">
        <v>364</v>
      </c>
      <c r="D69" s="29"/>
      <c r="E69" s="29"/>
      <c r="F69" s="29" t="s">
        <v>365</v>
      </c>
      <c r="G69" s="29" t="s">
        <v>97</v>
      </c>
    </row>
    <row r="70" spans="1:7">
      <c r="A70" s="29" t="s">
        <v>366</v>
      </c>
      <c r="B70" s="29" t="s">
        <v>367</v>
      </c>
      <c r="C70" s="29" t="s">
        <v>368</v>
      </c>
      <c r="D70" s="29"/>
      <c r="E70" s="29"/>
      <c r="F70" s="29" t="s">
        <v>369</v>
      </c>
      <c r="G70" s="29" t="s">
        <v>97</v>
      </c>
    </row>
    <row r="71" spans="1:7">
      <c r="A71" s="29" t="s">
        <v>370</v>
      </c>
      <c r="B71" s="29" t="s">
        <v>371</v>
      </c>
      <c r="C71" s="29" t="s">
        <v>372</v>
      </c>
      <c r="D71" s="29"/>
      <c r="E71" s="29"/>
      <c r="F71" s="29" t="s">
        <v>373</v>
      </c>
      <c r="G71" s="29" t="s">
        <v>97</v>
      </c>
    </row>
    <row r="72" spans="1:7">
      <c r="A72" s="29" t="s">
        <v>374</v>
      </c>
      <c r="B72" s="29" t="s">
        <v>375</v>
      </c>
      <c r="C72" s="29" t="s">
        <v>376</v>
      </c>
      <c r="D72" s="29"/>
      <c r="E72" s="29"/>
      <c r="F72" s="29" t="s">
        <v>377</v>
      </c>
      <c r="G72" s="29" t="s">
        <v>97</v>
      </c>
    </row>
    <row r="73" spans="1:7">
      <c r="A73" s="29" t="s">
        <v>378</v>
      </c>
      <c r="B73" s="29" t="s">
        <v>379</v>
      </c>
      <c r="C73" s="29" t="s">
        <v>380</v>
      </c>
      <c r="D73" s="29"/>
      <c r="E73" s="29"/>
      <c r="F73" s="29" t="s">
        <v>381</v>
      </c>
      <c r="G73" s="29" t="s">
        <v>97</v>
      </c>
    </row>
    <row r="74" spans="1:7">
      <c r="A74" s="29" t="s">
        <v>382</v>
      </c>
      <c r="B74" s="29" t="s">
        <v>383</v>
      </c>
      <c r="C74" s="29" t="s">
        <v>384</v>
      </c>
      <c r="D74" s="29"/>
      <c r="E74" s="29"/>
      <c r="F74" s="29" t="s">
        <v>385</v>
      </c>
      <c r="G74" s="29" t="s">
        <v>97</v>
      </c>
    </row>
    <row r="75" spans="1:7">
      <c r="A75" s="29" t="s">
        <v>386</v>
      </c>
      <c r="B75" s="29" t="s">
        <v>387</v>
      </c>
      <c r="C75" s="29" t="s">
        <v>388</v>
      </c>
      <c r="D75" s="29"/>
      <c r="E75" s="29"/>
      <c r="F75" s="29" t="s">
        <v>389</v>
      </c>
      <c r="G75" s="29" t="s">
        <v>97</v>
      </c>
    </row>
    <row r="76" spans="1:7">
      <c r="A76" s="29" t="s">
        <v>390</v>
      </c>
      <c r="B76" s="29" t="s">
        <v>391</v>
      </c>
      <c r="C76" s="29" t="s">
        <v>392</v>
      </c>
      <c r="D76" s="29"/>
      <c r="E76" s="29"/>
      <c r="F76" s="29" t="s">
        <v>393</v>
      </c>
      <c r="G76" s="29" t="s">
        <v>97</v>
      </c>
    </row>
    <row r="77" spans="1:7">
      <c r="A77" s="29" t="s">
        <v>394</v>
      </c>
      <c r="B77" s="29" t="s">
        <v>395</v>
      </c>
      <c r="C77" s="29" t="s">
        <v>396</v>
      </c>
      <c r="D77" s="29"/>
      <c r="E77" s="29"/>
      <c r="F77" s="29" t="s">
        <v>397</v>
      </c>
      <c r="G77" s="29" t="s">
        <v>97</v>
      </c>
    </row>
    <row r="78" spans="1:7">
      <c r="A78" s="29" t="s">
        <v>398</v>
      </c>
      <c r="B78" s="29" t="s">
        <v>399</v>
      </c>
      <c r="C78" s="29" t="s">
        <v>400</v>
      </c>
      <c r="D78" s="29"/>
      <c r="E78" s="29"/>
      <c r="F78" s="29" t="s">
        <v>401</v>
      </c>
      <c r="G78" s="29" t="s">
        <v>97</v>
      </c>
    </row>
    <row r="79" spans="1:7">
      <c r="A79" s="29" t="s">
        <v>402</v>
      </c>
      <c r="B79" s="29" t="s">
        <v>403</v>
      </c>
      <c r="C79" s="29" t="s">
        <v>404</v>
      </c>
      <c r="D79" s="29"/>
      <c r="E79" s="29"/>
      <c r="F79" s="29" t="s">
        <v>405</v>
      </c>
      <c r="G79" s="29" t="s">
        <v>97</v>
      </c>
    </row>
    <row r="80" spans="1:7">
      <c r="A80" s="29" t="s">
        <v>406</v>
      </c>
      <c r="B80" s="29" t="s">
        <v>407</v>
      </c>
      <c r="C80" s="29" t="s">
        <v>408</v>
      </c>
      <c r="D80" s="29"/>
      <c r="E80" s="29"/>
      <c r="F80" s="29" t="s">
        <v>409</v>
      </c>
      <c r="G80" s="29" t="s">
        <v>97</v>
      </c>
    </row>
    <row r="81" spans="1:7">
      <c r="A81" s="29" t="s">
        <v>410</v>
      </c>
      <c r="B81" s="29" t="s">
        <v>411</v>
      </c>
      <c r="C81" s="29" t="s">
        <v>412</v>
      </c>
      <c r="D81" s="29"/>
      <c r="E81" s="29"/>
      <c r="F81" s="29" t="s">
        <v>413</v>
      </c>
      <c r="G81" s="29" t="s">
        <v>97</v>
      </c>
    </row>
    <row r="82" spans="1:7">
      <c r="A82" s="29" t="s">
        <v>414</v>
      </c>
      <c r="B82" s="29" t="s">
        <v>415</v>
      </c>
      <c r="C82" s="29" t="s">
        <v>416</v>
      </c>
      <c r="D82" s="29"/>
      <c r="E82" s="29"/>
      <c r="F82" s="29" t="s">
        <v>417</v>
      </c>
      <c r="G82" s="29" t="s">
        <v>97</v>
      </c>
    </row>
    <row r="83" spans="1:7">
      <c r="A83" s="29" t="s">
        <v>418</v>
      </c>
      <c r="B83" s="29" t="s">
        <v>419</v>
      </c>
      <c r="C83" s="29" t="s">
        <v>420</v>
      </c>
      <c r="D83" s="29"/>
      <c r="E83" s="29"/>
      <c r="F83" s="29" t="s">
        <v>421</v>
      </c>
      <c r="G83" s="29" t="s">
        <v>97</v>
      </c>
    </row>
    <row r="84" spans="1:7">
      <c r="A84" s="29" t="s">
        <v>422</v>
      </c>
      <c r="B84" s="29" t="s">
        <v>423</v>
      </c>
      <c r="C84" s="29" t="s">
        <v>424</v>
      </c>
      <c r="D84" s="29"/>
      <c r="E84" s="29"/>
      <c r="F84" s="29" t="s">
        <v>425</v>
      </c>
      <c r="G84" s="29" t="s">
        <v>97</v>
      </c>
    </row>
    <row r="85" spans="1:7">
      <c r="A85" s="29" t="s">
        <v>426</v>
      </c>
      <c r="B85" s="29" t="s">
        <v>427</v>
      </c>
      <c r="C85" s="29" t="s">
        <v>428</v>
      </c>
      <c r="D85" s="29"/>
      <c r="E85" s="29"/>
      <c r="F85" s="29" t="s">
        <v>429</v>
      </c>
      <c r="G85" s="29" t="s">
        <v>97</v>
      </c>
    </row>
    <row r="86" spans="1:7">
      <c r="A86" s="29" t="s">
        <v>430</v>
      </c>
      <c r="B86" s="29" t="s">
        <v>431</v>
      </c>
      <c r="C86" s="29" t="s">
        <v>432</v>
      </c>
      <c r="D86" s="29"/>
      <c r="E86" s="29"/>
      <c r="F86" s="29" t="s">
        <v>433</v>
      </c>
      <c r="G86" s="29" t="s">
        <v>97</v>
      </c>
    </row>
    <row r="87" spans="1:7">
      <c r="A87" s="29" t="s">
        <v>434</v>
      </c>
      <c r="B87" s="29" t="s">
        <v>435</v>
      </c>
      <c r="C87" s="29" t="s">
        <v>436</v>
      </c>
      <c r="D87" s="29"/>
      <c r="E87" s="29"/>
      <c r="F87" s="29" t="s">
        <v>437</v>
      </c>
      <c r="G87" s="29" t="s">
        <v>97</v>
      </c>
    </row>
    <row r="88" spans="1:7">
      <c r="A88" s="29" t="s">
        <v>438</v>
      </c>
      <c r="B88" s="29" t="s">
        <v>439</v>
      </c>
      <c r="C88" s="29" t="s">
        <v>440</v>
      </c>
      <c r="D88" s="29"/>
      <c r="E88" s="29"/>
      <c r="F88" s="29" t="s">
        <v>441</v>
      </c>
      <c r="G88" s="29" t="s">
        <v>97</v>
      </c>
    </row>
    <row r="89" spans="1:7">
      <c r="A89" s="29" t="s">
        <v>442</v>
      </c>
      <c r="B89" s="29" t="s">
        <v>443</v>
      </c>
      <c r="C89" s="29" t="s">
        <v>444</v>
      </c>
      <c r="D89" s="29"/>
      <c r="E89" s="29"/>
      <c r="F89" s="29" t="s">
        <v>445</v>
      </c>
      <c r="G89" s="29" t="s">
        <v>97</v>
      </c>
    </row>
    <row r="90" spans="1:7">
      <c r="A90" s="29" t="s">
        <v>446</v>
      </c>
      <c r="B90" s="29" t="s">
        <v>447</v>
      </c>
      <c r="C90" s="29" t="s">
        <v>448</v>
      </c>
      <c r="D90" s="29"/>
      <c r="E90" s="29"/>
      <c r="F90" s="29" t="s">
        <v>449</v>
      </c>
      <c r="G90" s="29" t="s">
        <v>97</v>
      </c>
    </row>
    <row r="91" spans="1:7">
      <c r="A91" s="29" t="s">
        <v>450</v>
      </c>
      <c r="B91" s="29" t="s">
        <v>451</v>
      </c>
      <c r="C91" s="29" t="s">
        <v>452</v>
      </c>
      <c r="D91" s="29"/>
      <c r="E91" s="29"/>
      <c r="F91" s="29" t="s">
        <v>453</v>
      </c>
      <c r="G91" s="29" t="s">
        <v>97</v>
      </c>
    </row>
    <row r="92" spans="1:7">
      <c r="A92" s="29" t="s">
        <v>454</v>
      </c>
      <c r="B92" s="29" t="s">
        <v>455</v>
      </c>
      <c r="C92" s="29" t="s">
        <v>456</v>
      </c>
      <c r="D92" s="29"/>
      <c r="E92" s="29"/>
      <c r="F92" s="29" t="s">
        <v>457</v>
      </c>
      <c r="G92" s="29" t="s">
        <v>97</v>
      </c>
    </row>
    <row r="93" spans="1:7">
      <c r="A93" s="29" t="s">
        <v>458</v>
      </c>
      <c r="B93" s="29" t="s">
        <v>459</v>
      </c>
      <c r="C93" s="29" t="s">
        <v>460</v>
      </c>
      <c r="D93" s="29"/>
      <c r="E93" s="29"/>
      <c r="F93" s="29" t="s">
        <v>461</v>
      </c>
      <c r="G93" s="29" t="s">
        <v>97</v>
      </c>
    </row>
    <row r="94" spans="1:7">
      <c r="A94" s="29" t="s">
        <v>462</v>
      </c>
      <c r="B94" s="29" t="s">
        <v>463</v>
      </c>
      <c r="C94" s="29" t="s">
        <v>464</v>
      </c>
      <c r="D94" s="29"/>
      <c r="E94" s="29"/>
      <c r="F94" s="29" t="s">
        <v>465</v>
      </c>
      <c r="G94" s="29" t="s">
        <v>97</v>
      </c>
    </row>
    <row r="95" spans="1:7">
      <c r="A95" s="29" t="s">
        <v>466</v>
      </c>
      <c r="B95" s="29" t="s">
        <v>467</v>
      </c>
      <c r="C95" s="29" t="s">
        <v>468</v>
      </c>
      <c r="D95" s="29"/>
      <c r="E95" s="29"/>
      <c r="F95" s="29" t="s">
        <v>469</v>
      </c>
      <c r="G95" s="29" t="s">
        <v>97</v>
      </c>
    </row>
    <row r="96" spans="1:7">
      <c r="A96" s="29" t="s">
        <v>470</v>
      </c>
      <c r="B96" s="29" t="s">
        <v>471</v>
      </c>
      <c r="C96" s="29" t="s">
        <v>472</v>
      </c>
      <c r="D96" s="29"/>
      <c r="E96" s="29"/>
      <c r="F96" s="29" t="s">
        <v>473</v>
      </c>
      <c r="G96" s="29" t="s">
        <v>474</v>
      </c>
    </row>
    <row r="97" spans="1:7">
      <c r="A97" s="29" t="s">
        <v>475</v>
      </c>
      <c r="B97" s="29" t="s">
        <v>476</v>
      </c>
      <c r="C97" s="29" t="s">
        <v>477</v>
      </c>
      <c r="D97" s="29"/>
      <c r="E97" s="29"/>
      <c r="F97" s="29" t="s">
        <v>478</v>
      </c>
      <c r="G97" s="29" t="s">
        <v>97</v>
      </c>
    </row>
    <row r="98" spans="1:7">
      <c r="A98" s="29" t="s">
        <v>479</v>
      </c>
      <c r="B98" s="29" t="s">
        <v>480</v>
      </c>
      <c r="C98" s="29" t="s">
        <v>481</v>
      </c>
      <c r="D98" s="29"/>
      <c r="E98" s="29"/>
      <c r="F98" s="29" t="s">
        <v>482</v>
      </c>
      <c r="G98" s="29" t="s">
        <v>97</v>
      </c>
    </row>
    <row r="99" spans="1:7">
      <c r="A99" s="29" t="s">
        <v>483</v>
      </c>
      <c r="B99" s="29" t="s">
        <v>484</v>
      </c>
      <c r="C99" s="29" t="s">
        <v>485</v>
      </c>
      <c r="D99" s="29"/>
      <c r="E99" s="29"/>
      <c r="F99" s="29" t="s">
        <v>486</v>
      </c>
      <c r="G99" s="29" t="s">
        <v>97</v>
      </c>
    </row>
    <row r="100" spans="1:7">
      <c r="A100" s="29" t="s">
        <v>487</v>
      </c>
      <c r="B100" s="29" t="s">
        <v>488</v>
      </c>
      <c r="C100" s="29" t="s">
        <v>489</v>
      </c>
      <c r="D100" s="29"/>
      <c r="E100" s="29"/>
      <c r="F100" s="29" t="s">
        <v>490</v>
      </c>
      <c r="G100" s="29" t="s">
        <v>97</v>
      </c>
    </row>
    <row r="101" spans="1:7">
      <c r="A101" s="29" t="s">
        <v>491</v>
      </c>
      <c r="B101" s="29" t="s">
        <v>492</v>
      </c>
      <c r="C101" s="29" t="s">
        <v>493</v>
      </c>
      <c r="D101" s="29"/>
      <c r="E101" s="29"/>
      <c r="F101" s="29" t="s">
        <v>494</v>
      </c>
      <c r="G101" s="29" t="s">
        <v>97</v>
      </c>
    </row>
    <row r="102" spans="1:7">
      <c r="A102" s="29" t="s">
        <v>495</v>
      </c>
      <c r="B102" s="29" t="s">
        <v>496</v>
      </c>
      <c r="C102" s="29" t="s">
        <v>497</v>
      </c>
      <c r="D102" s="29"/>
      <c r="E102" s="29"/>
      <c r="F102" s="29" t="s">
        <v>498</v>
      </c>
      <c r="G102" s="29" t="s">
        <v>97</v>
      </c>
    </row>
    <row r="103" spans="1:7">
      <c r="A103" s="29" t="s">
        <v>499</v>
      </c>
      <c r="B103" s="29" t="s">
        <v>500</v>
      </c>
      <c r="C103" s="29" t="s">
        <v>501</v>
      </c>
      <c r="D103" s="29"/>
      <c r="E103" s="29"/>
      <c r="F103" s="29" t="s">
        <v>502</v>
      </c>
      <c r="G103" s="29" t="s">
        <v>97</v>
      </c>
    </row>
    <row r="104" spans="1:7">
      <c r="A104" s="29" t="s">
        <v>503</v>
      </c>
      <c r="B104" s="29" t="s">
        <v>504</v>
      </c>
      <c r="C104" s="29" t="s">
        <v>505</v>
      </c>
      <c r="D104" s="29"/>
      <c r="E104" s="29"/>
      <c r="F104" s="29" t="s">
        <v>506</v>
      </c>
      <c r="G104" s="29" t="s">
        <v>97</v>
      </c>
    </row>
    <row r="105" spans="1:7">
      <c r="A105" s="29" t="s">
        <v>507</v>
      </c>
      <c r="B105" s="29" t="s">
        <v>508</v>
      </c>
      <c r="C105" s="29" t="s">
        <v>509</v>
      </c>
      <c r="D105" s="29"/>
      <c r="E105" s="29"/>
      <c r="F105" s="29" t="s">
        <v>510</v>
      </c>
      <c r="G105" s="29" t="s">
        <v>97</v>
      </c>
    </row>
    <row r="106" spans="1:7">
      <c r="A106" s="29" t="s">
        <v>511</v>
      </c>
      <c r="B106" s="29" t="s">
        <v>512</v>
      </c>
      <c r="C106" s="29" t="s">
        <v>513</v>
      </c>
      <c r="D106" s="29"/>
      <c r="E106" s="29"/>
      <c r="F106" s="29" t="s">
        <v>514</v>
      </c>
      <c r="G106" s="29" t="s">
        <v>97</v>
      </c>
    </row>
    <row r="107" spans="1:7">
      <c r="A107" s="29" t="s">
        <v>515</v>
      </c>
      <c r="B107" s="29" t="s">
        <v>516</v>
      </c>
      <c r="C107" s="29" t="s">
        <v>517</v>
      </c>
      <c r="D107" s="29"/>
      <c r="E107" s="29"/>
      <c r="F107" s="29" t="s">
        <v>518</v>
      </c>
      <c r="G107" s="29" t="s">
        <v>97</v>
      </c>
    </row>
    <row r="108" spans="1:7">
      <c r="A108" s="29" t="s">
        <v>519</v>
      </c>
      <c r="B108" s="29" t="s">
        <v>520</v>
      </c>
      <c r="C108" s="29" t="s">
        <v>521</v>
      </c>
      <c r="D108" s="29"/>
      <c r="E108" s="29"/>
      <c r="F108" s="29" t="s">
        <v>522</v>
      </c>
      <c r="G108" s="29" t="s">
        <v>97</v>
      </c>
    </row>
    <row r="109" spans="1:7">
      <c r="A109" s="29" t="s">
        <v>523</v>
      </c>
      <c r="B109" s="29" t="s">
        <v>524</v>
      </c>
      <c r="C109" s="29" t="s">
        <v>525</v>
      </c>
      <c r="D109" s="29"/>
      <c r="E109" s="29"/>
      <c r="F109" s="29" t="s">
        <v>526</v>
      </c>
      <c r="G109" s="29" t="s">
        <v>97</v>
      </c>
    </row>
    <row r="110" spans="1:7">
      <c r="A110" s="29" t="s">
        <v>527</v>
      </c>
      <c r="B110" s="29" t="s">
        <v>528</v>
      </c>
      <c r="C110" s="29" t="s">
        <v>529</v>
      </c>
      <c r="D110" s="29"/>
      <c r="E110" s="29"/>
      <c r="F110" s="29" t="s">
        <v>530</v>
      </c>
      <c r="G110" s="29" t="s">
        <v>97</v>
      </c>
    </row>
    <row r="111" spans="1:7">
      <c r="A111" s="29" t="s">
        <v>531</v>
      </c>
      <c r="B111" s="29" t="s">
        <v>532</v>
      </c>
      <c r="C111" s="29" t="s">
        <v>533</v>
      </c>
      <c r="D111" s="29"/>
      <c r="E111" s="29"/>
      <c r="F111" s="29" t="s">
        <v>534</v>
      </c>
      <c r="G111" s="29" t="s">
        <v>97</v>
      </c>
    </row>
    <row r="112" spans="1:7">
      <c r="A112" s="29" t="s">
        <v>535</v>
      </c>
      <c r="B112" s="29" t="s">
        <v>536</v>
      </c>
      <c r="C112" s="29" t="s">
        <v>537</v>
      </c>
      <c r="D112" s="29"/>
      <c r="E112" s="29"/>
      <c r="F112" s="29" t="s">
        <v>538</v>
      </c>
      <c r="G112" s="29" t="s">
        <v>97</v>
      </c>
    </row>
    <row r="113" spans="1:7">
      <c r="A113" s="29" t="s">
        <v>539</v>
      </c>
      <c r="B113" s="29" t="s">
        <v>540</v>
      </c>
      <c r="C113" s="29" t="s">
        <v>541</v>
      </c>
      <c r="D113" s="29"/>
      <c r="E113" s="29"/>
      <c r="F113" s="29" t="s">
        <v>542</v>
      </c>
      <c r="G113" s="29" t="s">
        <v>97</v>
      </c>
    </row>
    <row r="114" spans="1:7">
      <c r="A114" s="29" t="s">
        <v>543</v>
      </c>
      <c r="B114" s="29" t="s">
        <v>544</v>
      </c>
      <c r="C114" s="29" t="s">
        <v>545</v>
      </c>
      <c r="D114" s="29"/>
      <c r="E114" s="29"/>
      <c r="F114" s="29" t="s">
        <v>546</v>
      </c>
      <c r="G114" s="29" t="s">
        <v>97</v>
      </c>
    </row>
    <row r="115" spans="1:7">
      <c r="A115" s="29" t="s">
        <v>547</v>
      </c>
      <c r="B115" s="29" t="s">
        <v>548</v>
      </c>
      <c r="C115" s="29" t="s">
        <v>549</v>
      </c>
      <c r="D115" s="29"/>
      <c r="E115" s="29"/>
      <c r="F115" s="29" t="s">
        <v>550</v>
      </c>
      <c r="G115" s="29" t="s">
        <v>97</v>
      </c>
    </row>
    <row r="116" spans="1:7">
      <c r="A116" s="29" t="s">
        <v>551</v>
      </c>
      <c r="B116" s="29" t="s">
        <v>552</v>
      </c>
      <c r="C116" s="29" t="s">
        <v>553</v>
      </c>
      <c r="D116" s="29"/>
      <c r="E116" s="29"/>
      <c r="F116" s="29" t="s">
        <v>554</v>
      </c>
      <c r="G116" s="29" t="s">
        <v>97</v>
      </c>
    </row>
    <row r="117" spans="1:7">
      <c r="A117" s="29" t="s">
        <v>555</v>
      </c>
      <c r="B117" s="29" t="s">
        <v>556</v>
      </c>
      <c r="C117" s="29" t="s">
        <v>557</v>
      </c>
      <c r="D117" s="29"/>
      <c r="E117" s="29"/>
      <c r="F117" s="29" t="s">
        <v>558</v>
      </c>
      <c r="G117" s="29" t="s">
        <v>97</v>
      </c>
    </row>
    <row r="118" spans="1:7">
      <c r="A118" s="29" t="s">
        <v>559</v>
      </c>
      <c r="B118" s="29" t="s">
        <v>560</v>
      </c>
      <c r="C118" s="29" t="s">
        <v>561</v>
      </c>
      <c r="D118" s="29"/>
      <c r="E118" s="29"/>
      <c r="F118" s="29" t="s">
        <v>562</v>
      </c>
      <c r="G118" s="29" t="s">
        <v>97</v>
      </c>
    </row>
    <row r="119" spans="1:7">
      <c r="A119" s="29" t="s">
        <v>563</v>
      </c>
      <c r="B119" s="29" t="s">
        <v>564</v>
      </c>
      <c r="C119" s="29" t="s">
        <v>565</v>
      </c>
      <c r="D119" s="29"/>
      <c r="E119" s="29"/>
      <c r="F119" s="29" t="s">
        <v>566</v>
      </c>
      <c r="G119" s="29" t="s">
        <v>97</v>
      </c>
    </row>
    <row r="120" spans="1:7">
      <c r="A120" s="29" t="s">
        <v>567</v>
      </c>
      <c r="B120" s="29" t="s">
        <v>568</v>
      </c>
      <c r="C120" s="29" t="s">
        <v>569</v>
      </c>
      <c r="D120" s="29"/>
      <c r="E120" s="29"/>
      <c r="F120" s="29" t="s">
        <v>570</v>
      </c>
      <c r="G120" s="29" t="s">
        <v>97</v>
      </c>
    </row>
    <row r="121" spans="1:7">
      <c r="A121" s="29" t="s">
        <v>571</v>
      </c>
      <c r="B121" s="29" t="s">
        <v>572</v>
      </c>
      <c r="C121" s="29" t="s">
        <v>573</v>
      </c>
      <c r="D121" s="29"/>
      <c r="E121" s="29"/>
      <c r="F121" s="29" t="s">
        <v>574</v>
      </c>
      <c r="G121" s="29" t="s">
        <v>97</v>
      </c>
    </row>
    <row r="122" spans="1:7">
      <c r="A122" s="29" t="s">
        <v>575</v>
      </c>
      <c r="B122" s="29" t="s">
        <v>576</v>
      </c>
      <c r="C122" s="29" t="s">
        <v>577</v>
      </c>
      <c r="D122" s="29"/>
      <c r="E122" s="29"/>
      <c r="F122" s="29" t="s">
        <v>578</v>
      </c>
      <c r="G122" s="29" t="s">
        <v>97</v>
      </c>
    </row>
    <row r="123" spans="1:7">
      <c r="A123" s="29" t="s">
        <v>579</v>
      </c>
      <c r="B123" s="29" t="s">
        <v>580</v>
      </c>
      <c r="C123" s="29" t="s">
        <v>581</v>
      </c>
      <c r="D123" s="29"/>
      <c r="E123" s="29"/>
      <c r="F123" s="29" t="s">
        <v>582</v>
      </c>
      <c r="G123" s="29" t="s">
        <v>97</v>
      </c>
    </row>
    <row r="124" spans="1:7">
      <c r="A124" s="29" t="s">
        <v>583</v>
      </c>
      <c r="B124" s="29" t="s">
        <v>584</v>
      </c>
      <c r="C124" s="29" t="s">
        <v>585</v>
      </c>
      <c r="D124" s="29"/>
      <c r="E124" s="29"/>
      <c r="F124" s="29" t="s">
        <v>586</v>
      </c>
      <c r="G124" s="29" t="s">
        <v>97</v>
      </c>
    </row>
    <row r="125" spans="1:7">
      <c r="A125" s="29" t="s">
        <v>587</v>
      </c>
      <c r="B125" s="29" t="s">
        <v>588</v>
      </c>
      <c r="C125" s="29" t="s">
        <v>589</v>
      </c>
      <c r="D125" s="29"/>
      <c r="E125" s="29"/>
      <c r="F125" s="29" t="s">
        <v>590</v>
      </c>
      <c r="G125" s="29" t="s">
        <v>97</v>
      </c>
    </row>
    <row r="126" spans="1:7">
      <c r="A126" s="29" t="s">
        <v>591</v>
      </c>
      <c r="B126" s="29" t="s">
        <v>592</v>
      </c>
      <c r="C126" s="29" t="s">
        <v>593</v>
      </c>
      <c r="D126" s="29"/>
      <c r="E126" s="29"/>
      <c r="F126" s="29" t="s">
        <v>594</v>
      </c>
      <c r="G126" s="29" t="s">
        <v>97</v>
      </c>
    </row>
    <row r="127" spans="1:7">
      <c r="A127" s="29" t="s">
        <v>595</v>
      </c>
      <c r="B127" s="29" t="s">
        <v>596</v>
      </c>
      <c r="C127" s="29" t="s">
        <v>597</v>
      </c>
      <c r="D127" s="29"/>
      <c r="E127" s="29"/>
      <c r="F127" s="29" t="s">
        <v>598</v>
      </c>
      <c r="G127" s="29" t="s">
        <v>97</v>
      </c>
    </row>
    <row r="128" spans="1:7">
      <c r="A128" s="29" t="s">
        <v>599</v>
      </c>
      <c r="B128" s="29" t="s">
        <v>600</v>
      </c>
      <c r="C128" s="29" t="s">
        <v>601</v>
      </c>
      <c r="D128" s="29"/>
      <c r="E128" s="29"/>
      <c r="F128" s="29" t="s">
        <v>602</v>
      </c>
      <c r="G128" s="29" t="s">
        <v>97</v>
      </c>
    </row>
    <row r="129" spans="1:7">
      <c r="A129" s="29" t="s">
        <v>603</v>
      </c>
      <c r="B129" s="29" t="s">
        <v>604</v>
      </c>
      <c r="C129" s="29" t="s">
        <v>605</v>
      </c>
      <c r="D129" s="29"/>
      <c r="E129" s="29"/>
      <c r="F129" s="29" t="s">
        <v>606</v>
      </c>
      <c r="G129" s="29" t="s">
        <v>97</v>
      </c>
    </row>
    <row r="130" spans="1:7">
      <c r="A130" s="29" t="s">
        <v>607</v>
      </c>
      <c r="B130" s="29" t="s">
        <v>608</v>
      </c>
      <c r="C130" s="29" t="s">
        <v>609</v>
      </c>
      <c r="D130" s="29"/>
      <c r="E130" s="29"/>
      <c r="F130" s="29" t="s">
        <v>610</v>
      </c>
      <c r="G130" s="29" t="s">
        <v>97</v>
      </c>
    </row>
    <row r="131" spans="1:7">
      <c r="A131" s="29" t="s">
        <v>611</v>
      </c>
      <c r="B131" s="29" t="s">
        <v>612</v>
      </c>
      <c r="C131" s="29" t="s">
        <v>613</v>
      </c>
      <c r="D131" s="29"/>
      <c r="E131" s="29"/>
      <c r="F131" s="29" t="s">
        <v>614</v>
      </c>
      <c r="G131" s="29" t="s">
        <v>97</v>
      </c>
    </row>
    <row r="132" spans="1:7">
      <c r="A132" s="29" t="s">
        <v>615</v>
      </c>
      <c r="B132" s="29" t="s">
        <v>616</v>
      </c>
      <c r="C132" s="29" t="s">
        <v>617</v>
      </c>
      <c r="D132" s="29"/>
      <c r="E132" s="29"/>
      <c r="F132" s="29" t="s">
        <v>618</v>
      </c>
      <c r="G132" s="29" t="s">
        <v>97</v>
      </c>
    </row>
    <row r="133" spans="1:7">
      <c r="A133" s="29" t="s">
        <v>619</v>
      </c>
      <c r="B133" s="29" t="s">
        <v>620</v>
      </c>
      <c r="C133" s="29" t="s">
        <v>621</v>
      </c>
      <c r="D133" s="29"/>
      <c r="E133" s="29"/>
      <c r="F133" s="29" t="s">
        <v>622</v>
      </c>
      <c r="G133" s="29" t="s">
        <v>97</v>
      </c>
    </row>
    <row r="134" spans="1:7">
      <c r="A134" s="29" t="s">
        <v>623</v>
      </c>
      <c r="B134" s="29" t="s">
        <v>624</v>
      </c>
      <c r="C134" s="29" t="s">
        <v>625</v>
      </c>
      <c r="D134" s="29"/>
      <c r="E134" s="29"/>
      <c r="F134" s="29" t="s">
        <v>626</v>
      </c>
      <c r="G134" s="29" t="s">
        <v>97</v>
      </c>
    </row>
    <row r="135" spans="1:7">
      <c r="A135" s="29" t="s">
        <v>627</v>
      </c>
      <c r="B135" s="29" t="s">
        <v>628</v>
      </c>
      <c r="C135" s="29" t="s">
        <v>629</v>
      </c>
      <c r="D135" s="29"/>
      <c r="E135" s="29"/>
      <c r="F135" s="29" t="s">
        <v>630</v>
      </c>
      <c r="G135" s="29" t="s">
        <v>97</v>
      </c>
    </row>
    <row r="136" spans="1:7">
      <c r="A136" s="29" t="s">
        <v>631</v>
      </c>
      <c r="B136" s="29" t="s">
        <v>632</v>
      </c>
      <c r="C136" s="29" t="s">
        <v>633</v>
      </c>
      <c r="D136" s="29"/>
      <c r="E136" s="29"/>
      <c r="F136" s="29" t="s">
        <v>634</v>
      </c>
      <c r="G136" s="29" t="s">
        <v>97</v>
      </c>
    </row>
    <row r="137" spans="1:7">
      <c r="A137" s="29" t="s">
        <v>635</v>
      </c>
      <c r="B137" s="29" t="s">
        <v>636</v>
      </c>
      <c r="C137" s="29" t="s">
        <v>637</v>
      </c>
      <c r="D137" s="29"/>
      <c r="E137" s="29"/>
      <c r="F137" s="29" t="s">
        <v>638</v>
      </c>
      <c r="G137" s="29" t="s">
        <v>97</v>
      </c>
    </row>
    <row r="138" spans="1:7">
      <c r="A138" s="29" t="s">
        <v>639</v>
      </c>
      <c r="B138" s="29" t="s">
        <v>640</v>
      </c>
      <c r="C138" s="29" t="s">
        <v>641</v>
      </c>
      <c r="D138" s="29"/>
      <c r="E138" s="29"/>
      <c r="F138" s="29" t="s">
        <v>642</v>
      </c>
      <c r="G138" s="29" t="s">
        <v>97</v>
      </c>
    </row>
    <row r="139" spans="1:7">
      <c r="A139" s="29" t="s">
        <v>643</v>
      </c>
      <c r="B139" s="29" t="s">
        <v>644</v>
      </c>
      <c r="C139" s="29" t="s">
        <v>645</v>
      </c>
      <c r="D139" s="29"/>
      <c r="E139" s="29"/>
      <c r="F139" s="29" t="s">
        <v>646</v>
      </c>
      <c r="G139" s="29" t="s">
        <v>97</v>
      </c>
    </row>
    <row r="140" spans="1:7">
      <c r="A140" s="29" t="s">
        <v>647</v>
      </c>
      <c r="B140" s="29" t="s">
        <v>648</v>
      </c>
      <c r="C140" s="29" t="s">
        <v>649</v>
      </c>
      <c r="D140" s="29"/>
      <c r="E140" s="29"/>
      <c r="F140" s="29" t="s">
        <v>650</v>
      </c>
      <c r="G140" s="29" t="s">
        <v>97</v>
      </c>
    </row>
    <row r="141" spans="1:7">
      <c r="A141" s="29" t="s">
        <v>651</v>
      </c>
      <c r="B141" s="29" t="s">
        <v>652</v>
      </c>
      <c r="C141" s="29" t="s">
        <v>653</v>
      </c>
      <c r="D141" s="29"/>
      <c r="E141" s="29"/>
      <c r="F141" s="29" t="s">
        <v>654</v>
      </c>
      <c r="G141" s="29" t="s">
        <v>97</v>
      </c>
    </row>
    <row r="142" spans="1:7">
      <c r="A142" s="29" t="s">
        <v>655</v>
      </c>
      <c r="B142" s="29" t="s">
        <v>656</v>
      </c>
      <c r="C142" s="29" t="s">
        <v>657</v>
      </c>
      <c r="D142" s="29"/>
      <c r="E142" s="29"/>
      <c r="F142" s="29" t="s">
        <v>658</v>
      </c>
      <c r="G142" s="29" t="s">
        <v>97</v>
      </c>
    </row>
    <row r="143" spans="1:7">
      <c r="A143" s="29" t="s">
        <v>659</v>
      </c>
      <c r="B143" s="29" t="s">
        <v>660</v>
      </c>
      <c r="C143" s="29" t="s">
        <v>661</v>
      </c>
      <c r="D143" s="29"/>
      <c r="E143" s="29"/>
      <c r="F143" s="29" t="s">
        <v>662</v>
      </c>
      <c r="G143" s="29" t="s">
        <v>97</v>
      </c>
    </row>
    <row r="144" spans="1:7">
      <c r="A144" s="29" t="s">
        <v>663</v>
      </c>
      <c r="B144" s="29" t="s">
        <v>664</v>
      </c>
      <c r="C144" s="29" t="s">
        <v>665</v>
      </c>
      <c r="D144" s="29"/>
      <c r="E144" s="29"/>
      <c r="F144" s="29" t="s">
        <v>666</v>
      </c>
      <c r="G144" s="29" t="s">
        <v>97</v>
      </c>
    </row>
    <row r="145" spans="1:7">
      <c r="A145" s="29" t="s">
        <v>667</v>
      </c>
      <c r="B145" s="29" t="s">
        <v>668</v>
      </c>
      <c r="C145" s="29" t="s">
        <v>669</v>
      </c>
      <c r="D145" s="29"/>
      <c r="E145" s="29"/>
      <c r="F145" s="29" t="s">
        <v>670</v>
      </c>
      <c r="G145" s="29" t="s">
        <v>97</v>
      </c>
    </row>
    <row r="146" spans="1:7">
      <c r="A146" s="29" t="s">
        <v>671</v>
      </c>
      <c r="B146" s="29" t="s">
        <v>672</v>
      </c>
      <c r="C146" s="29" t="s">
        <v>673</v>
      </c>
      <c r="D146" s="29"/>
      <c r="E146" s="29"/>
      <c r="F146" s="29" t="s">
        <v>674</v>
      </c>
      <c r="G146" s="29" t="s">
        <v>97</v>
      </c>
    </row>
    <row r="147" spans="1:7">
      <c r="A147" s="29" t="s">
        <v>675</v>
      </c>
      <c r="B147" s="29" t="s">
        <v>676</v>
      </c>
      <c r="C147" s="29" t="s">
        <v>677</v>
      </c>
      <c r="D147" s="29"/>
      <c r="E147" s="29"/>
      <c r="F147" s="29" t="s">
        <v>678</v>
      </c>
      <c r="G147" s="29" t="s">
        <v>97</v>
      </c>
    </row>
    <row r="148" spans="1:7">
      <c r="A148" s="29" t="s">
        <v>679</v>
      </c>
      <c r="B148" s="29" t="s">
        <v>680</v>
      </c>
      <c r="C148" s="29" t="s">
        <v>681</v>
      </c>
      <c r="D148" s="29"/>
      <c r="E148" s="29"/>
      <c r="F148" s="29" t="s">
        <v>682</v>
      </c>
      <c r="G148" s="29" t="s">
        <v>97</v>
      </c>
    </row>
    <row r="149" spans="1:7">
      <c r="A149" s="29" t="s">
        <v>683</v>
      </c>
      <c r="B149" s="29" t="s">
        <v>684</v>
      </c>
      <c r="C149" s="29" t="s">
        <v>685</v>
      </c>
      <c r="D149" s="29"/>
      <c r="E149" s="29"/>
      <c r="F149" s="29" t="s">
        <v>686</v>
      </c>
      <c r="G149" s="29" t="s">
        <v>97</v>
      </c>
    </row>
    <row r="150" spans="1:7">
      <c r="A150" s="29" t="s">
        <v>687</v>
      </c>
      <c r="B150" s="29" t="s">
        <v>688</v>
      </c>
      <c r="C150" s="29" t="s">
        <v>689</v>
      </c>
      <c r="D150" s="29"/>
      <c r="E150" s="29"/>
      <c r="F150" s="29" t="s">
        <v>690</v>
      </c>
      <c r="G150" s="29" t="s">
        <v>97</v>
      </c>
    </row>
    <row r="151" spans="1:7">
      <c r="A151" s="29" t="s">
        <v>691</v>
      </c>
      <c r="B151" s="29" t="s">
        <v>692</v>
      </c>
      <c r="C151" s="29" t="s">
        <v>693</v>
      </c>
      <c r="D151" s="29"/>
      <c r="E151" s="29"/>
      <c r="F151" s="29" t="s">
        <v>694</v>
      </c>
      <c r="G151" s="29" t="s">
        <v>97</v>
      </c>
    </row>
    <row r="152" spans="1:7">
      <c r="A152" s="29" t="s">
        <v>695</v>
      </c>
      <c r="B152" s="29" t="s">
        <v>696</v>
      </c>
      <c r="C152" s="29" t="s">
        <v>697</v>
      </c>
      <c r="D152" s="29"/>
      <c r="E152" s="29"/>
      <c r="F152" s="29" t="s">
        <v>698</v>
      </c>
      <c r="G152" s="29" t="s">
        <v>97</v>
      </c>
    </row>
    <row r="153" spans="1:7">
      <c r="A153" s="29" t="s">
        <v>699</v>
      </c>
      <c r="B153" s="29" t="s">
        <v>700</v>
      </c>
      <c r="C153" s="29" t="s">
        <v>701</v>
      </c>
      <c r="D153" s="29"/>
      <c r="E153" s="29"/>
      <c r="F153" s="29" t="s">
        <v>702</v>
      </c>
      <c r="G153" s="29" t="s">
        <v>97</v>
      </c>
    </row>
    <row r="154" spans="1:7">
      <c r="A154" s="29" t="s">
        <v>703</v>
      </c>
      <c r="B154" s="29" t="s">
        <v>704</v>
      </c>
      <c r="C154" s="29" t="s">
        <v>705</v>
      </c>
      <c r="D154" s="29"/>
      <c r="E154" s="29"/>
      <c r="F154" s="29" t="s">
        <v>706</v>
      </c>
      <c r="G154" s="29" t="s">
        <v>97</v>
      </c>
    </row>
    <row r="155" spans="1:7">
      <c r="A155" s="29" t="s">
        <v>707</v>
      </c>
      <c r="B155" s="29" t="s">
        <v>708</v>
      </c>
      <c r="C155" s="29" t="s">
        <v>709</v>
      </c>
      <c r="D155" s="29"/>
      <c r="E155" s="29"/>
      <c r="F155" s="29" t="s">
        <v>710</v>
      </c>
      <c r="G155" s="29" t="s">
        <v>97</v>
      </c>
    </row>
    <row r="156" spans="1:7">
      <c r="A156" s="29" t="s">
        <v>711</v>
      </c>
      <c r="B156" s="29" t="s">
        <v>712</v>
      </c>
      <c r="C156" s="29" t="s">
        <v>713</v>
      </c>
      <c r="D156" s="29"/>
      <c r="E156" s="29"/>
      <c r="F156" s="29" t="s">
        <v>714</v>
      </c>
      <c r="G156" s="29" t="s">
        <v>97</v>
      </c>
    </row>
    <row r="157" spans="1:7">
      <c r="A157" s="29" t="s">
        <v>715</v>
      </c>
      <c r="B157" s="29" t="s">
        <v>716</v>
      </c>
      <c r="C157" s="29" t="s">
        <v>717</v>
      </c>
      <c r="D157" s="29"/>
      <c r="E157" s="29"/>
      <c r="F157" s="29" t="s">
        <v>718</v>
      </c>
      <c r="G157" s="29" t="s">
        <v>97</v>
      </c>
    </row>
    <row r="158" spans="1:7">
      <c r="A158" s="29" t="s">
        <v>719</v>
      </c>
      <c r="B158" s="29" t="s">
        <v>720</v>
      </c>
      <c r="C158" s="29" t="s">
        <v>721</v>
      </c>
      <c r="D158" s="29"/>
      <c r="E158" s="29"/>
      <c r="F158" s="29" t="s">
        <v>722</v>
      </c>
      <c r="G158" s="29" t="s">
        <v>97</v>
      </c>
    </row>
    <row r="159" spans="1:7">
      <c r="A159" s="29" t="s">
        <v>723</v>
      </c>
      <c r="B159" s="29" t="s">
        <v>724</v>
      </c>
      <c r="C159" s="29" t="s">
        <v>725</v>
      </c>
      <c r="D159" s="29"/>
      <c r="E159" s="29"/>
      <c r="F159" s="29" t="s">
        <v>726</v>
      </c>
      <c r="G159" s="29" t="s">
        <v>97</v>
      </c>
    </row>
    <row r="160" spans="1:7">
      <c r="A160" s="29" t="s">
        <v>727</v>
      </c>
      <c r="B160" s="29" t="s">
        <v>728</v>
      </c>
      <c r="C160" s="29" t="s">
        <v>729</v>
      </c>
      <c r="D160" s="29"/>
      <c r="E160" s="29"/>
      <c r="F160" s="29" t="s">
        <v>730</v>
      </c>
      <c r="G160" s="29" t="s">
        <v>97</v>
      </c>
    </row>
    <row r="161" spans="1:7">
      <c r="A161" s="29" t="s">
        <v>731</v>
      </c>
      <c r="B161" s="29" t="s">
        <v>732</v>
      </c>
      <c r="C161" s="29" t="s">
        <v>733</v>
      </c>
      <c r="D161" s="29"/>
      <c r="E161" s="29"/>
      <c r="F161" s="29" t="s">
        <v>734</v>
      </c>
      <c r="G161" s="29" t="s">
        <v>97</v>
      </c>
    </row>
    <row r="162" spans="1:7">
      <c r="A162" s="29" t="s">
        <v>735</v>
      </c>
      <c r="B162" s="29" t="s">
        <v>736</v>
      </c>
      <c r="C162" s="29" t="s">
        <v>737</v>
      </c>
      <c r="D162" s="29"/>
      <c r="E162" s="29"/>
      <c r="F162" s="29" t="s">
        <v>738</v>
      </c>
      <c r="G162" s="29" t="s">
        <v>97</v>
      </c>
    </row>
    <row r="163" spans="1:7">
      <c r="A163" s="29" t="s">
        <v>739</v>
      </c>
      <c r="B163" s="29" t="s">
        <v>740</v>
      </c>
      <c r="C163" s="29" t="s">
        <v>741</v>
      </c>
      <c r="D163" s="29"/>
      <c r="E163" s="29"/>
      <c r="F163" s="29" t="s">
        <v>742</v>
      </c>
      <c r="G163" s="29" t="s">
        <v>97</v>
      </c>
    </row>
    <row r="164" spans="1:7">
      <c r="A164" s="29" t="s">
        <v>743</v>
      </c>
      <c r="B164" s="29" t="s">
        <v>744</v>
      </c>
      <c r="C164" s="29" t="s">
        <v>745</v>
      </c>
      <c r="D164" s="29"/>
      <c r="E164" s="29"/>
      <c r="F164" s="29" t="s">
        <v>746</v>
      </c>
      <c r="G164" s="29" t="s">
        <v>97</v>
      </c>
    </row>
    <row r="165" spans="1:7">
      <c r="A165" s="29" t="s">
        <v>747</v>
      </c>
      <c r="B165" s="29" t="s">
        <v>748</v>
      </c>
      <c r="C165" s="29" t="s">
        <v>749</v>
      </c>
      <c r="D165" s="29"/>
      <c r="E165" s="29"/>
      <c r="F165" s="29" t="s">
        <v>750</v>
      </c>
      <c r="G165" s="29" t="s">
        <v>97</v>
      </c>
    </row>
    <row r="166" spans="1:7">
      <c r="A166" s="29" t="s">
        <v>751</v>
      </c>
      <c r="B166" s="29" t="s">
        <v>752</v>
      </c>
      <c r="C166" s="29" t="s">
        <v>753</v>
      </c>
      <c r="D166" s="29"/>
      <c r="E166" s="29"/>
      <c r="F166" s="29" t="s">
        <v>754</v>
      </c>
      <c r="G166" s="29" t="s">
        <v>97</v>
      </c>
    </row>
    <row r="167" spans="1:7">
      <c r="A167" s="29" t="s">
        <v>755</v>
      </c>
      <c r="B167" s="29" t="s">
        <v>756</v>
      </c>
      <c r="C167" s="29" t="s">
        <v>757</v>
      </c>
      <c r="D167" s="29"/>
      <c r="E167" s="29"/>
      <c r="F167" s="29" t="s">
        <v>758</v>
      </c>
      <c r="G167" s="29" t="s">
        <v>97</v>
      </c>
    </row>
    <row r="168" spans="1:7">
      <c r="A168" s="29" t="s">
        <v>759</v>
      </c>
      <c r="B168" s="29" t="s">
        <v>760</v>
      </c>
      <c r="C168" s="29" t="s">
        <v>761</v>
      </c>
      <c r="D168" s="29"/>
      <c r="E168" s="29"/>
      <c r="F168" s="29" t="s">
        <v>762</v>
      </c>
      <c r="G168" s="29" t="s">
        <v>97</v>
      </c>
    </row>
    <row r="169" spans="1:7">
      <c r="A169" s="29" t="s">
        <v>763</v>
      </c>
      <c r="B169" s="29" t="s">
        <v>764</v>
      </c>
      <c r="C169" s="29" t="s">
        <v>765</v>
      </c>
      <c r="D169" s="29"/>
      <c r="E169" s="29"/>
      <c r="F169" s="29" t="s">
        <v>766</v>
      </c>
      <c r="G169" s="29" t="s">
        <v>97</v>
      </c>
    </row>
    <row r="170" spans="1:7">
      <c r="A170" s="29" t="s">
        <v>767</v>
      </c>
      <c r="B170" s="29" t="s">
        <v>768</v>
      </c>
      <c r="C170" s="29" t="s">
        <v>769</v>
      </c>
      <c r="D170" s="29"/>
      <c r="E170" s="29"/>
      <c r="F170" s="29" t="s">
        <v>770</v>
      </c>
      <c r="G170" s="29" t="s">
        <v>97</v>
      </c>
    </row>
    <row r="171" spans="1:7">
      <c r="A171" s="29" t="s">
        <v>771</v>
      </c>
      <c r="B171" s="29" t="s">
        <v>772</v>
      </c>
      <c r="C171" s="29" t="s">
        <v>773</v>
      </c>
      <c r="D171" s="29"/>
      <c r="E171" s="29"/>
      <c r="F171" s="29" t="s">
        <v>774</v>
      </c>
      <c r="G171" s="29" t="s">
        <v>97</v>
      </c>
    </row>
    <row r="172" spans="1:7">
      <c r="A172" s="29" t="s">
        <v>775</v>
      </c>
      <c r="B172" s="29" t="s">
        <v>776</v>
      </c>
      <c r="C172" s="29" t="s">
        <v>777</v>
      </c>
      <c r="D172" s="29"/>
      <c r="E172" s="29"/>
      <c r="F172" s="29" t="s">
        <v>778</v>
      </c>
      <c r="G172" s="29" t="s">
        <v>97</v>
      </c>
    </row>
    <row r="173" spans="1:7">
      <c r="A173" s="29" t="s">
        <v>779</v>
      </c>
      <c r="B173" s="29" t="s">
        <v>780</v>
      </c>
      <c r="C173" s="29" t="s">
        <v>781</v>
      </c>
      <c r="D173" s="29"/>
      <c r="E173" s="29"/>
      <c r="F173" s="29" t="s">
        <v>782</v>
      </c>
      <c r="G173" s="29" t="s">
        <v>97</v>
      </c>
    </row>
    <row r="174" spans="1:7">
      <c r="A174" s="29" t="s">
        <v>783</v>
      </c>
      <c r="B174" s="29" t="s">
        <v>784</v>
      </c>
      <c r="C174" s="29" t="s">
        <v>785</v>
      </c>
      <c r="D174" s="29"/>
      <c r="E174" s="29"/>
      <c r="F174" s="29" t="s">
        <v>786</v>
      </c>
      <c r="G174" s="29" t="s">
        <v>97</v>
      </c>
    </row>
    <row r="175" spans="1:7">
      <c r="A175" s="29" t="s">
        <v>787</v>
      </c>
      <c r="B175" s="29" t="s">
        <v>94</v>
      </c>
      <c r="C175" s="29" t="s">
        <v>95</v>
      </c>
      <c r="D175" s="29"/>
      <c r="E175" s="29"/>
      <c r="F175" s="29" t="s">
        <v>788</v>
      </c>
      <c r="G175" s="29" t="s">
        <v>97</v>
      </c>
    </row>
    <row r="176" spans="1:7">
      <c r="A176" s="29" t="s">
        <v>789</v>
      </c>
      <c r="B176" s="29" t="s">
        <v>99</v>
      </c>
      <c r="C176" s="29" t="s">
        <v>100</v>
      </c>
      <c r="D176" s="29"/>
      <c r="E176" s="29"/>
      <c r="F176" s="29" t="s">
        <v>790</v>
      </c>
      <c r="G176" s="29" t="s">
        <v>97</v>
      </c>
    </row>
    <row r="177" spans="1:7">
      <c r="A177" s="29" t="s">
        <v>791</v>
      </c>
      <c r="B177" s="29" t="s">
        <v>103</v>
      </c>
      <c r="C177" s="29" t="s">
        <v>104</v>
      </c>
      <c r="D177" s="29"/>
      <c r="E177" s="29"/>
      <c r="F177" s="29" t="s">
        <v>792</v>
      </c>
      <c r="G177" s="29" t="s">
        <v>97</v>
      </c>
    </row>
    <row r="178" spans="1:7">
      <c r="A178" s="29" t="s">
        <v>793</v>
      </c>
      <c r="B178" s="29" t="s">
        <v>107</v>
      </c>
      <c r="C178" s="29" t="s">
        <v>108</v>
      </c>
      <c r="D178" s="29"/>
      <c r="E178" s="29"/>
      <c r="F178" s="29" t="s">
        <v>794</v>
      </c>
      <c r="G178" s="29" t="s">
        <v>97</v>
      </c>
    </row>
    <row r="179" spans="1:7">
      <c r="A179" s="29" t="s">
        <v>795</v>
      </c>
      <c r="B179" s="29" t="s">
        <v>111</v>
      </c>
      <c r="C179" s="29" t="s">
        <v>112</v>
      </c>
      <c r="D179" s="29"/>
      <c r="E179" s="29"/>
      <c r="F179" s="29" t="s">
        <v>796</v>
      </c>
      <c r="G179" s="29" t="s">
        <v>97</v>
      </c>
    </row>
    <row r="180" spans="1:7">
      <c r="A180" s="29" t="s">
        <v>797</v>
      </c>
      <c r="B180" s="29" t="s">
        <v>115</v>
      </c>
      <c r="C180" s="29" t="s">
        <v>116</v>
      </c>
      <c r="D180" s="29"/>
      <c r="E180" s="29"/>
      <c r="F180" s="29" t="s">
        <v>798</v>
      </c>
      <c r="G180" s="29" t="s">
        <v>97</v>
      </c>
    </row>
    <row r="181" spans="1:7">
      <c r="A181" s="29" t="s">
        <v>799</v>
      </c>
      <c r="B181" s="29" t="s">
        <v>119</v>
      </c>
      <c r="C181" s="29" t="s">
        <v>120</v>
      </c>
      <c r="D181" s="29"/>
      <c r="E181" s="29"/>
      <c r="F181" s="29" t="s">
        <v>800</v>
      </c>
      <c r="G181" s="29" t="s">
        <v>97</v>
      </c>
    </row>
    <row r="182" spans="1:7">
      <c r="A182" s="29" t="s">
        <v>801</v>
      </c>
      <c r="B182" s="29" t="s">
        <v>123</v>
      </c>
      <c r="C182" s="29" t="s">
        <v>124</v>
      </c>
      <c r="D182" s="29"/>
      <c r="E182" s="29"/>
      <c r="F182" s="29" t="s">
        <v>802</v>
      </c>
      <c r="G182" s="29" t="s">
        <v>97</v>
      </c>
    </row>
    <row r="183" spans="1:7">
      <c r="A183" s="29" t="s">
        <v>803</v>
      </c>
      <c r="B183" s="29" t="s">
        <v>127</v>
      </c>
      <c r="C183" s="29" t="s">
        <v>128</v>
      </c>
      <c r="D183" s="29"/>
      <c r="E183" s="29"/>
      <c r="F183" s="29" t="s">
        <v>804</v>
      </c>
      <c r="G183" s="29" t="s">
        <v>97</v>
      </c>
    </row>
    <row r="184" spans="1:7">
      <c r="A184" s="29" t="s">
        <v>805</v>
      </c>
      <c r="B184" s="29" t="s">
        <v>131</v>
      </c>
      <c r="C184" s="29" t="s">
        <v>132</v>
      </c>
      <c r="D184" s="29"/>
      <c r="E184" s="29"/>
      <c r="F184" s="29" t="s">
        <v>806</v>
      </c>
      <c r="G184" s="29" t="s">
        <v>97</v>
      </c>
    </row>
    <row r="185" spans="1:7">
      <c r="A185" s="29" t="s">
        <v>807</v>
      </c>
      <c r="B185" s="29" t="s">
        <v>135</v>
      </c>
      <c r="C185" s="29" t="s">
        <v>136</v>
      </c>
      <c r="D185" s="29"/>
      <c r="E185" s="29"/>
      <c r="F185" s="29" t="s">
        <v>808</v>
      </c>
      <c r="G185" s="29" t="s">
        <v>97</v>
      </c>
    </row>
    <row r="186" spans="1:7">
      <c r="A186" s="29" t="s">
        <v>809</v>
      </c>
      <c r="B186" s="29" t="s">
        <v>139</v>
      </c>
      <c r="C186" s="29" t="s">
        <v>140</v>
      </c>
      <c r="D186" s="29"/>
      <c r="E186" s="29"/>
      <c r="F186" s="29" t="s">
        <v>810</v>
      </c>
      <c r="G186" s="29" t="s">
        <v>97</v>
      </c>
    </row>
    <row r="187" spans="1:7">
      <c r="A187" s="29" t="s">
        <v>811</v>
      </c>
      <c r="B187" s="29" t="s">
        <v>143</v>
      </c>
      <c r="C187" s="29" t="s">
        <v>144</v>
      </c>
      <c r="D187" s="29"/>
      <c r="E187" s="29"/>
      <c r="F187" s="29" t="s">
        <v>812</v>
      </c>
      <c r="G187" s="29" t="s">
        <v>97</v>
      </c>
    </row>
    <row r="188" spans="1:7">
      <c r="A188" s="29" t="s">
        <v>813</v>
      </c>
      <c r="B188" s="29" t="s">
        <v>147</v>
      </c>
      <c r="C188" s="29" t="s">
        <v>148</v>
      </c>
      <c r="D188" s="29"/>
      <c r="E188" s="29"/>
      <c r="F188" s="29" t="s">
        <v>814</v>
      </c>
      <c r="G188" s="29" t="s">
        <v>97</v>
      </c>
    </row>
    <row r="189" spans="1:7">
      <c r="A189" s="29" t="s">
        <v>815</v>
      </c>
      <c r="B189" s="29" t="s">
        <v>151</v>
      </c>
      <c r="C189" s="29" t="s">
        <v>152</v>
      </c>
      <c r="D189" s="29"/>
      <c r="E189" s="29"/>
      <c r="F189" s="29" t="s">
        <v>816</v>
      </c>
      <c r="G189" s="29" t="s">
        <v>97</v>
      </c>
    </row>
    <row r="190" spans="1:7">
      <c r="A190" s="29" t="s">
        <v>817</v>
      </c>
      <c r="B190" s="29" t="s">
        <v>155</v>
      </c>
      <c r="C190" s="29" t="s">
        <v>156</v>
      </c>
      <c r="D190" s="29"/>
      <c r="E190" s="29"/>
      <c r="F190" s="29" t="s">
        <v>818</v>
      </c>
      <c r="G190" s="29" t="s">
        <v>97</v>
      </c>
    </row>
    <row r="191" spans="1:7">
      <c r="A191" s="29" t="s">
        <v>819</v>
      </c>
      <c r="B191" s="29" t="s">
        <v>159</v>
      </c>
      <c r="C191" s="29" t="s">
        <v>160</v>
      </c>
      <c r="D191" s="29"/>
      <c r="E191" s="29"/>
      <c r="F191" s="29" t="s">
        <v>820</v>
      </c>
      <c r="G191" s="29" t="s">
        <v>97</v>
      </c>
    </row>
    <row r="192" spans="1:7">
      <c r="A192" s="29" t="s">
        <v>821</v>
      </c>
      <c r="B192" s="29" t="s">
        <v>163</v>
      </c>
      <c r="C192" s="29" t="s">
        <v>164</v>
      </c>
      <c r="D192" s="29"/>
      <c r="E192" s="29"/>
      <c r="F192" s="29" t="s">
        <v>822</v>
      </c>
      <c r="G192" s="29" t="s">
        <v>97</v>
      </c>
    </row>
    <row r="193" spans="1:7">
      <c r="A193" s="29" t="s">
        <v>823</v>
      </c>
      <c r="B193" s="29" t="s">
        <v>167</v>
      </c>
      <c r="C193" s="29" t="s">
        <v>168</v>
      </c>
      <c r="D193" s="29"/>
      <c r="E193" s="29"/>
      <c r="F193" s="29" t="s">
        <v>824</v>
      </c>
      <c r="G193" s="29" t="s">
        <v>97</v>
      </c>
    </row>
    <row r="194" spans="1:7">
      <c r="A194" s="29" t="s">
        <v>825</v>
      </c>
      <c r="B194" s="29" t="s">
        <v>171</v>
      </c>
      <c r="C194" s="29" t="s">
        <v>172</v>
      </c>
      <c r="D194" s="29"/>
      <c r="E194" s="29"/>
      <c r="F194" s="29" t="s">
        <v>826</v>
      </c>
      <c r="G194" s="29" t="s">
        <v>97</v>
      </c>
    </row>
    <row r="195" spans="1:7">
      <c r="A195" s="29" t="s">
        <v>827</v>
      </c>
      <c r="B195" s="29" t="s">
        <v>175</v>
      </c>
      <c r="C195" s="29" t="s">
        <v>176</v>
      </c>
      <c r="D195" s="29"/>
      <c r="E195" s="29"/>
      <c r="F195" s="29" t="s">
        <v>828</v>
      </c>
      <c r="G195" s="29" t="s">
        <v>97</v>
      </c>
    </row>
    <row r="196" spans="1:7">
      <c r="A196" s="29" t="s">
        <v>829</v>
      </c>
      <c r="B196" s="29" t="s">
        <v>179</v>
      </c>
      <c r="C196" s="29" t="s">
        <v>180</v>
      </c>
      <c r="D196" s="29"/>
      <c r="E196" s="29"/>
      <c r="F196" s="29" t="s">
        <v>830</v>
      </c>
      <c r="G196" s="29" t="s">
        <v>97</v>
      </c>
    </row>
    <row r="197" spans="1:7">
      <c r="A197" s="29" t="s">
        <v>831</v>
      </c>
      <c r="B197" s="29" t="s">
        <v>183</v>
      </c>
      <c r="C197" s="29" t="s">
        <v>184</v>
      </c>
      <c r="D197" s="29"/>
      <c r="E197" s="29"/>
      <c r="F197" s="29" t="s">
        <v>832</v>
      </c>
      <c r="G197" s="29" t="s">
        <v>97</v>
      </c>
    </row>
    <row r="198" spans="1:7">
      <c r="A198" s="29" t="s">
        <v>833</v>
      </c>
      <c r="B198" s="29" t="s">
        <v>834</v>
      </c>
      <c r="C198" s="29" t="s">
        <v>835</v>
      </c>
      <c r="D198" s="29"/>
      <c r="E198" s="29"/>
      <c r="F198" s="29" t="s">
        <v>473</v>
      </c>
      <c r="G198" s="29" t="s">
        <v>836</v>
      </c>
    </row>
    <row r="199" spans="1:7">
      <c r="A199" s="29" t="s">
        <v>837</v>
      </c>
      <c r="B199" s="29" t="s">
        <v>187</v>
      </c>
      <c r="C199" s="29" t="s">
        <v>188</v>
      </c>
      <c r="D199" s="29"/>
      <c r="E199" s="29"/>
      <c r="F199" s="29" t="s">
        <v>838</v>
      </c>
      <c r="G199" s="29" t="s">
        <v>97</v>
      </c>
    </row>
    <row r="200" spans="1:7">
      <c r="A200" s="29" t="s">
        <v>839</v>
      </c>
      <c r="B200" s="29" t="s">
        <v>191</v>
      </c>
      <c r="C200" s="29" t="s">
        <v>192</v>
      </c>
      <c r="D200" s="29"/>
      <c r="E200" s="29"/>
      <c r="F200" s="29" t="s">
        <v>840</v>
      </c>
      <c r="G200" s="29" t="s">
        <v>97</v>
      </c>
    </row>
    <row r="201" spans="1:7">
      <c r="A201" s="29" t="s">
        <v>841</v>
      </c>
      <c r="B201" s="29" t="s">
        <v>195</v>
      </c>
      <c r="C201" s="29" t="s">
        <v>196</v>
      </c>
      <c r="D201" s="29"/>
      <c r="E201" s="29"/>
      <c r="F201" s="29" t="s">
        <v>842</v>
      </c>
      <c r="G201" s="29" t="s">
        <v>97</v>
      </c>
    </row>
    <row r="202" spans="1:7">
      <c r="A202" s="29" t="s">
        <v>843</v>
      </c>
      <c r="B202" s="29" t="s">
        <v>199</v>
      </c>
      <c r="C202" s="29" t="s">
        <v>200</v>
      </c>
      <c r="D202" s="29"/>
      <c r="E202" s="29"/>
      <c r="F202" s="29" t="s">
        <v>844</v>
      </c>
      <c r="G202" s="29" t="s">
        <v>97</v>
      </c>
    </row>
    <row r="203" spans="1:7">
      <c r="A203" s="29" t="s">
        <v>845</v>
      </c>
      <c r="B203" s="29" t="s">
        <v>203</v>
      </c>
      <c r="C203" s="29" t="s">
        <v>204</v>
      </c>
      <c r="D203" s="29"/>
      <c r="E203" s="29"/>
      <c r="F203" s="29" t="s">
        <v>846</v>
      </c>
      <c r="G203" s="29" t="s">
        <v>97</v>
      </c>
    </row>
    <row r="204" spans="1:7">
      <c r="A204" s="29" t="s">
        <v>847</v>
      </c>
      <c r="B204" s="29" t="s">
        <v>207</v>
      </c>
      <c r="C204" s="29" t="s">
        <v>208</v>
      </c>
      <c r="D204" s="29"/>
      <c r="E204" s="29"/>
      <c r="F204" s="29" t="s">
        <v>848</v>
      </c>
      <c r="G204" s="29" t="s">
        <v>97</v>
      </c>
    </row>
    <row r="205" spans="1:7">
      <c r="A205" s="29" t="s">
        <v>849</v>
      </c>
      <c r="B205" s="29" t="s">
        <v>211</v>
      </c>
      <c r="C205" s="29" t="s">
        <v>212</v>
      </c>
      <c r="D205" s="29"/>
      <c r="E205" s="29"/>
      <c r="F205" s="29" t="s">
        <v>850</v>
      </c>
      <c r="G205" s="29" t="s">
        <v>97</v>
      </c>
    </row>
    <row r="206" spans="1:7">
      <c r="A206" s="29" t="s">
        <v>851</v>
      </c>
      <c r="B206" s="29" t="s">
        <v>215</v>
      </c>
      <c r="C206" s="29" t="s">
        <v>216</v>
      </c>
      <c r="D206" s="29"/>
      <c r="E206" s="29"/>
      <c r="F206" s="29" t="s">
        <v>852</v>
      </c>
      <c r="G206" s="29" t="s">
        <v>97</v>
      </c>
    </row>
    <row r="207" spans="1:7">
      <c r="A207" s="29" t="s">
        <v>853</v>
      </c>
      <c r="B207" s="29" t="s">
        <v>219</v>
      </c>
      <c r="C207" s="29" t="s">
        <v>220</v>
      </c>
      <c r="D207" s="29"/>
      <c r="E207" s="29"/>
      <c r="F207" s="29" t="s">
        <v>854</v>
      </c>
      <c r="G207" s="29" t="s">
        <v>97</v>
      </c>
    </row>
    <row r="208" spans="1:7">
      <c r="A208" s="29" t="s">
        <v>855</v>
      </c>
      <c r="B208" s="29" t="s">
        <v>223</v>
      </c>
      <c r="C208" s="29" t="s">
        <v>224</v>
      </c>
      <c r="D208" s="29"/>
      <c r="E208" s="29"/>
      <c r="F208" s="29" t="s">
        <v>856</v>
      </c>
      <c r="G208" s="29" t="s">
        <v>97</v>
      </c>
    </row>
    <row r="209" spans="1:7">
      <c r="A209" s="29" t="s">
        <v>857</v>
      </c>
      <c r="B209" s="29" t="s">
        <v>227</v>
      </c>
      <c r="C209" s="29" t="s">
        <v>228</v>
      </c>
      <c r="D209" s="29"/>
      <c r="E209" s="29"/>
      <c r="F209" s="29" t="s">
        <v>858</v>
      </c>
      <c r="G209" s="29" t="s">
        <v>97</v>
      </c>
    </row>
    <row r="210" spans="1:7">
      <c r="A210" s="29" t="s">
        <v>859</v>
      </c>
      <c r="B210" s="29" t="s">
        <v>231</v>
      </c>
      <c r="C210" s="29" t="s">
        <v>232</v>
      </c>
      <c r="D210" s="29"/>
      <c r="E210" s="29"/>
      <c r="F210" s="29" t="s">
        <v>860</v>
      </c>
      <c r="G210" s="29" t="s">
        <v>97</v>
      </c>
    </row>
    <row r="211" spans="1:7">
      <c r="A211" s="29" t="s">
        <v>861</v>
      </c>
      <c r="B211" s="29" t="s">
        <v>235</v>
      </c>
      <c r="C211" s="29" t="s">
        <v>236</v>
      </c>
      <c r="D211" s="29"/>
      <c r="E211" s="29"/>
      <c r="F211" s="29" t="s">
        <v>862</v>
      </c>
      <c r="G211" s="29" t="s">
        <v>97</v>
      </c>
    </row>
    <row r="212" spans="1:7">
      <c r="A212" s="29" t="s">
        <v>863</v>
      </c>
      <c r="B212" s="29" t="s">
        <v>239</v>
      </c>
      <c r="C212" s="29" t="s">
        <v>240</v>
      </c>
      <c r="D212" s="29"/>
      <c r="E212" s="29"/>
      <c r="F212" s="29" t="s">
        <v>864</v>
      </c>
      <c r="G212" s="29" t="s">
        <v>97</v>
      </c>
    </row>
    <row r="213" spans="1:7">
      <c r="A213" s="29" t="s">
        <v>865</v>
      </c>
      <c r="B213" s="29" t="s">
        <v>243</v>
      </c>
      <c r="C213" s="29" t="s">
        <v>244</v>
      </c>
      <c r="D213" s="29"/>
      <c r="E213" s="29"/>
      <c r="F213" s="29" t="s">
        <v>866</v>
      </c>
      <c r="G213" s="29" t="s">
        <v>97</v>
      </c>
    </row>
    <row r="214" spans="1:7">
      <c r="A214" s="29" t="s">
        <v>867</v>
      </c>
      <c r="B214" s="29" t="s">
        <v>247</v>
      </c>
      <c r="C214" s="29" t="s">
        <v>248</v>
      </c>
      <c r="D214" s="29"/>
      <c r="E214" s="29"/>
      <c r="F214" s="29" t="s">
        <v>868</v>
      </c>
      <c r="G214" s="29" t="s">
        <v>97</v>
      </c>
    </row>
    <row r="215" spans="1:7">
      <c r="A215" s="29" t="s">
        <v>869</v>
      </c>
      <c r="B215" s="29" t="s">
        <v>251</v>
      </c>
      <c r="C215" s="29" t="s">
        <v>252</v>
      </c>
      <c r="D215" s="29"/>
      <c r="E215" s="29"/>
      <c r="F215" s="29" t="s">
        <v>870</v>
      </c>
      <c r="G215" s="29" t="s">
        <v>97</v>
      </c>
    </row>
    <row r="216" spans="1:7">
      <c r="A216" s="29" t="s">
        <v>871</v>
      </c>
      <c r="B216" s="29" t="s">
        <v>255</v>
      </c>
      <c r="C216" s="29" t="s">
        <v>256</v>
      </c>
      <c r="D216" s="29"/>
      <c r="E216" s="29"/>
      <c r="F216" s="29" t="s">
        <v>872</v>
      </c>
      <c r="G216" s="29" t="s">
        <v>97</v>
      </c>
    </row>
    <row r="217" spans="1:7">
      <c r="A217" s="29" t="s">
        <v>873</v>
      </c>
      <c r="B217" s="29" t="s">
        <v>259</v>
      </c>
      <c r="C217" s="29" t="s">
        <v>260</v>
      </c>
      <c r="D217" s="29"/>
      <c r="E217" s="29"/>
      <c r="F217" s="29" t="s">
        <v>874</v>
      </c>
      <c r="G217" s="29" t="s">
        <v>97</v>
      </c>
    </row>
    <row r="218" spans="1:7">
      <c r="A218" s="29" t="s">
        <v>875</v>
      </c>
      <c r="B218" s="29" t="s">
        <v>263</v>
      </c>
      <c r="C218" s="29" t="s">
        <v>264</v>
      </c>
      <c r="D218" s="29"/>
      <c r="E218" s="29"/>
      <c r="F218" s="29" t="s">
        <v>876</v>
      </c>
      <c r="G218" s="29" t="s">
        <v>97</v>
      </c>
    </row>
    <row r="219" spans="1:7">
      <c r="A219" s="29" t="s">
        <v>877</v>
      </c>
      <c r="B219" s="29" t="s">
        <v>267</v>
      </c>
      <c r="C219" s="29" t="s">
        <v>268</v>
      </c>
      <c r="D219" s="29"/>
      <c r="E219" s="29"/>
      <c r="F219" s="29" t="s">
        <v>878</v>
      </c>
      <c r="G219" s="29" t="s">
        <v>97</v>
      </c>
    </row>
    <row r="220" spans="1:7">
      <c r="A220" s="29" t="s">
        <v>879</v>
      </c>
      <c r="B220" s="29" t="s">
        <v>271</v>
      </c>
      <c r="C220" s="29" t="s">
        <v>272</v>
      </c>
      <c r="D220" s="29"/>
      <c r="E220" s="29"/>
      <c r="F220" s="29" t="s">
        <v>880</v>
      </c>
      <c r="G220" s="29" t="s">
        <v>97</v>
      </c>
    </row>
    <row r="221" spans="1:7">
      <c r="A221" s="29" t="s">
        <v>881</v>
      </c>
      <c r="B221" s="29" t="s">
        <v>275</v>
      </c>
      <c r="C221" s="29" t="s">
        <v>276</v>
      </c>
      <c r="D221" s="29"/>
      <c r="E221" s="29"/>
      <c r="F221" s="29" t="s">
        <v>882</v>
      </c>
      <c r="G221" s="29" t="s">
        <v>97</v>
      </c>
    </row>
    <row r="222" spans="1:7">
      <c r="A222" s="29" t="s">
        <v>883</v>
      </c>
      <c r="B222" s="29" t="s">
        <v>279</v>
      </c>
      <c r="C222" s="29" t="s">
        <v>280</v>
      </c>
      <c r="D222" s="29"/>
      <c r="E222" s="29"/>
      <c r="F222" s="29" t="s">
        <v>884</v>
      </c>
      <c r="G222" s="29" t="s">
        <v>97</v>
      </c>
    </row>
    <row r="223" spans="1:7">
      <c r="A223" s="29" t="s">
        <v>885</v>
      </c>
      <c r="B223" s="29" t="s">
        <v>283</v>
      </c>
      <c r="C223" s="29" t="s">
        <v>284</v>
      </c>
      <c r="D223" s="29"/>
      <c r="E223" s="29"/>
      <c r="F223" s="29" t="s">
        <v>886</v>
      </c>
      <c r="G223" s="29" t="s">
        <v>97</v>
      </c>
    </row>
    <row r="224" spans="1:7">
      <c r="A224" s="29" t="s">
        <v>887</v>
      </c>
      <c r="B224" s="29" t="s">
        <v>287</v>
      </c>
      <c r="C224" s="29" t="s">
        <v>288</v>
      </c>
      <c r="D224" s="29"/>
      <c r="E224" s="29"/>
      <c r="F224" s="29" t="s">
        <v>888</v>
      </c>
      <c r="G224" s="29" t="s">
        <v>97</v>
      </c>
    </row>
    <row r="225" spans="1:7">
      <c r="A225" s="29" t="s">
        <v>889</v>
      </c>
      <c r="B225" s="29" t="s">
        <v>291</v>
      </c>
      <c r="C225" s="29" t="s">
        <v>292</v>
      </c>
      <c r="D225" s="29"/>
      <c r="E225" s="29"/>
      <c r="F225" s="29" t="s">
        <v>890</v>
      </c>
      <c r="G225" s="29" t="s">
        <v>97</v>
      </c>
    </row>
    <row r="226" spans="1:7">
      <c r="A226" s="29" t="s">
        <v>891</v>
      </c>
      <c r="B226" s="29" t="s">
        <v>295</v>
      </c>
      <c r="C226" s="29" t="s">
        <v>296</v>
      </c>
      <c r="D226" s="29"/>
      <c r="E226" s="29"/>
      <c r="F226" s="29" t="s">
        <v>892</v>
      </c>
      <c r="G226" s="29" t="s">
        <v>97</v>
      </c>
    </row>
    <row r="227" spans="1:7">
      <c r="A227" s="29" t="s">
        <v>893</v>
      </c>
      <c r="B227" s="29" t="s">
        <v>299</v>
      </c>
      <c r="C227" s="29" t="s">
        <v>300</v>
      </c>
      <c r="D227" s="29"/>
      <c r="E227" s="29"/>
      <c r="F227" s="29" t="s">
        <v>894</v>
      </c>
      <c r="G227" s="29" t="s">
        <v>97</v>
      </c>
    </row>
    <row r="228" spans="1:7">
      <c r="A228" s="29" t="s">
        <v>895</v>
      </c>
      <c r="B228" s="29" t="s">
        <v>303</v>
      </c>
      <c r="C228" s="29" t="s">
        <v>304</v>
      </c>
      <c r="D228" s="29"/>
      <c r="E228" s="29"/>
      <c r="F228" s="29" t="s">
        <v>896</v>
      </c>
      <c r="G228" s="29" t="s">
        <v>97</v>
      </c>
    </row>
    <row r="229" spans="1:7">
      <c r="A229" s="29" t="s">
        <v>897</v>
      </c>
      <c r="B229" s="29" t="s">
        <v>307</v>
      </c>
      <c r="C229" s="29" t="s">
        <v>308</v>
      </c>
      <c r="D229" s="29"/>
      <c r="E229" s="29"/>
      <c r="F229" s="29" t="s">
        <v>898</v>
      </c>
      <c r="G229" s="29" t="s">
        <v>97</v>
      </c>
    </row>
    <row r="230" spans="1:7">
      <c r="A230" s="29" t="s">
        <v>899</v>
      </c>
      <c r="B230" s="29" t="s">
        <v>311</v>
      </c>
      <c r="C230" s="29" t="s">
        <v>312</v>
      </c>
      <c r="D230" s="29"/>
      <c r="E230" s="29"/>
      <c r="F230" s="29" t="s">
        <v>900</v>
      </c>
      <c r="G230" s="29" t="s">
        <v>97</v>
      </c>
    </row>
    <row r="231" spans="1:7">
      <c r="A231" s="29" t="s">
        <v>901</v>
      </c>
      <c r="B231" s="29" t="s">
        <v>315</v>
      </c>
      <c r="C231" s="29" t="s">
        <v>316</v>
      </c>
      <c r="D231" s="29"/>
      <c r="E231" s="29"/>
      <c r="F231" s="29" t="s">
        <v>902</v>
      </c>
      <c r="G231" s="29" t="s">
        <v>97</v>
      </c>
    </row>
    <row r="232" spans="1:7">
      <c r="A232" s="29" t="s">
        <v>903</v>
      </c>
      <c r="B232" s="29" t="s">
        <v>319</v>
      </c>
      <c r="C232" s="29" t="s">
        <v>320</v>
      </c>
      <c r="D232" s="29"/>
      <c r="E232" s="29"/>
      <c r="F232" s="29" t="s">
        <v>904</v>
      </c>
      <c r="G232" s="29" t="s">
        <v>97</v>
      </c>
    </row>
    <row r="233" spans="1:7">
      <c r="A233" s="29" t="s">
        <v>905</v>
      </c>
      <c r="B233" s="29" t="s">
        <v>323</v>
      </c>
      <c r="C233" s="29" t="s">
        <v>324</v>
      </c>
      <c r="D233" s="29"/>
      <c r="E233" s="29"/>
      <c r="F233" s="29" t="s">
        <v>906</v>
      </c>
      <c r="G233" s="29" t="s">
        <v>97</v>
      </c>
    </row>
    <row r="234" spans="1:7">
      <c r="A234" s="29" t="s">
        <v>907</v>
      </c>
      <c r="B234" s="29" t="s">
        <v>327</v>
      </c>
      <c r="C234" s="29" t="s">
        <v>328</v>
      </c>
      <c r="D234" s="29"/>
      <c r="E234" s="29"/>
      <c r="F234" s="29" t="s">
        <v>908</v>
      </c>
      <c r="G234" s="29" t="s">
        <v>97</v>
      </c>
    </row>
    <row r="235" spans="1:7">
      <c r="A235" s="29" t="s">
        <v>909</v>
      </c>
      <c r="B235" s="29" t="s">
        <v>331</v>
      </c>
      <c r="C235" s="29" t="s">
        <v>332</v>
      </c>
      <c r="D235" s="29"/>
      <c r="E235" s="29"/>
      <c r="F235" s="29" t="s">
        <v>910</v>
      </c>
      <c r="G235" s="29" t="s">
        <v>97</v>
      </c>
    </row>
    <row r="236" spans="1:7">
      <c r="A236" s="29" t="s">
        <v>911</v>
      </c>
      <c r="B236" s="29" t="s">
        <v>335</v>
      </c>
      <c r="C236" s="29" t="s">
        <v>336</v>
      </c>
      <c r="D236" s="29"/>
      <c r="E236" s="29"/>
      <c r="F236" s="29" t="s">
        <v>912</v>
      </c>
      <c r="G236" s="29" t="s">
        <v>97</v>
      </c>
    </row>
    <row r="237" spans="1:7">
      <c r="A237" s="29" t="s">
        <v>913</v>
      </c>
      <c r="B237" s="29" t="s">
        <v>339</v>
      </c>
      <c r="C237" s="29" t="s">
        <v>340</v>
      </c>
      <c r="D237" s="29"/>
      <c r="E237" s="29"/>
      <c r="F237" s="29" t="s">
        <v>914</v>
      </c>
      <c r="G237" s="29" t="s">
        <v>97</v>
      </c>
    </row>
    <row r="238" spans="1:7">
      <c r="A238" s="29" t="s">
        <v>915</v>
      </c>
      <c r="B238" s="29" t="s">
        <v>343</v>
      </c>
      <c r="C238" s="29" t="s">
        <v>344</v>
      </c>
      <c r="D238" s="29"/>
      <c r="E238" s="29"/>
      <c r="F238" s="29" t="s">
        <v>916</v>
      </c>
      <c r="G238" s="29" t="s">
        <v>97</v>
      </c>
    </row>
    <row r="239" spans="1:7">
      <c r="A239" s="29" t="s">
        <v>917</v>
      </c>
      <c r="B239" s="29" t="s">
        <v>347</v>
      </c>
      <c r="C239" s="29" t="s">
        <v>348</v>
      </c>
      <c r="D239" s="29"/>
      <c r="E239" s="29"/>
      <c r="F239" s="29" t="s">
        <v>918</v>
      </c>
      <c r="G239" s="29" t="s">
        <v>97</v>
      </c>
    </row>
    <row r="240" spans="1:7">
      <c r="A240" s="29" t="s">
        <v>919</v>
      </c>
      <c r="B240" s="29" t="s">
        <v>351</v>
      </c>
      <c r="C240" s="29" t="s">
        <v>352</v>
      </c>
      <c r="D240" s="29"/>
      <c r="E240" s="29"/>
      <c r="F240" s="29" t="s">
        <v>920</v>
      </c>
      <c r="G240" s="29" t="s">
        <v>97</v>
      </c>
    </row>
    <row r="241" spans="1:7">
      <c r="A241" s="29" t="s">
        <v>921</v>
      </c>
      <c r="B241" s="29" t="s">
        <v>556</v>
      </c>
      <c r="C241" s="29" t="s">
        <v>557</v>
      </c>
      <c r="D241" s="29"/>
      <c r="E241" s="29"/>
      <c r="F241" s="29" t="s">
        <v>922</v>
      </c>
      <c r="G241" s="29" t="s">
        <v>97</v>
      </c>
    </row>
    <row r="242" spans="1:7">
      <c r="A242" s="29" t="s">
        <v>923</v>
      </c>
      <c r="B242" s="29" t="s">
        <v>355</v>
      </c>
      <c r="C242" s="29" t="s">
        <v>356</v>
      </c>
      <c r="D242" s="29"/>
      <c r="E242" s="29"/>
      <c r="F242" s="29" t="s">
        <v>924</v>
      </c>
      <c r="G242" s="29" t="s">
        <v>97</v>
      </c>
    </row>
    <row r="243" spans="1:7">
      <c r="A243" s="29" t="s">
        <v>925</v>
      </c>
      <c r="B243" s="29" t="s">
        <v>359</v>
      </c>
      <c r="C243" s="29" t="s">
        <v>360</v>
      </c>
      <c r="D243" s="29"/>
      <c r="E243" s="29"/>
      <c r="F243" s="29" t="s">
        <v>926</v>
      </c>
      <c r="G243" s="29" t="s">
        <v>97</v>
      </c>
    </row>
    <row r="244" spans="1:7">
      <c r="A244" s="29" t="s">
        <v>927</v>
      </c>
      <c r="B244" s="29" t="s">
        <v>363</v>
      </c>
      <c r="C244" s="29" t="s">
        <v>364</v>
      </c>
      <c r="D244" s="29"/>
      <c r="E244" s="29"/>
      <c r="F244" s="29" t="s">
        <v>928</v>
      </c>
      <c r="G244" s="29" t="s">
        <v>97</v>
      </c>
    </row>
    <row r="245" spans="1:7">
      <c r="A245" s="29" t="s">
        <v>929</v>
      </c>
      <c r="B245" s="29" t="s">
        <v>367</v>
      </c>
      <c r="C245" s="29" t="s">
        <v>368</v>
      </c>
      <c r="D245" s="29"/>
      <c r="E245" s="29"/>
      <c r="F245" s="29" t="s">
        <v>930</v>
      </c>
      <c r="G245" s="29" t="s">
        <v>97</v>
      </c>
    </row>
    <row r="246" spans="1:7">
      <c r="A246" s="29" t="s">
        <v>931</v>
      </c>
      <c r="B246" s="29" t="s">
        <v>371</v>
      </c>
      <c r="C246" s="29" t="s">
        <v>372</v>
      </c>
      <c r="D246" s="29"/>
      <c r="E246" s="29"/>
      <c r="F246" s="29" t="s">
        <v>932</v>
      </c>
      <c r="G246" s="29" t="s">
        <v>97</v>
      </c>
    </row>
    <row r="247" spans="1:7">
      <c r="A247" s="29" t="s">
        <v>933</v>
      </c>
      <c r="B247" s="29" t="s">
        <v>375</v>
      </c>
      <c r="C247" s="29" t="s">
        <v>376</v>
      </c>
      <c r="D247" s="29"/>
      <c r="E247" s="29"/>
      <c r="F247" s="29" t="s">
        <v>934</v>
      </c>
      <c r="G247" s="29" t="s">
        <v>97</v>
      </c>
    </row>
    <row r="248" spans="1:7">
      <c r="A248" s="29" t="s">
        <v>935</v>
      </c>
      <c r="B248" s="29" t="s">
        <v>379</v>
      </c>
      <c r="C248" s="29" t="s">
        <v>380</v>
      </c>
      <c r="D248" s="29"/>
      <c r="E248" s="29"/>
      <c r="F248" s="29" t="s">
        <v>936</v>
      </c>
      <c r="G248" s="29" t="s">
        <v>97</v>
      </c>
    </row>
    <row r="249" spans="1:7">
      <c r="A249" s="29" t="s">
        <v>937</v>
      </c>
      <c r="B249" s="29" t="s">
        <v>383</v>
      </c>
      <c r="C249" s="29" t="s">
        <v>384</v>
      </c>
      <c r="D249" s="29"/>
      <c r="E249" s="29"/>
      <c r="F249" s="29" t="s">
        <v>938</v>
      </c>
      <c r="G249" s="29" t="s">
        <v>97</v>
      </c>
    </row>
    <row r="250" spans="1:7">
      <c r="A250" s="29" t="s">
        <v>939</v>
      </c>
      <c r="B250" s="29" t="s">
        <v>387</v>
      </c>
      <c r="C250" s="29" t="s">
        <v>388</v>
      </c>
      <c r="D250" s="29"/>
      <c r="E250" s="29"/>
      <c r="F250" s="29" t="s">
        <v>940</v>
      </c>
      <c r="G250" s="29" t="s">
        <v>97</v>
      </c>
    </row>
    <row r="251" spans="1:7">
      <c r="A251" s="29" t="s">
        <v>941</v>
      </c>
      <c r="B251" s="29" t="s">
        <v>391</v>
      </c>
      <c r="C251" s="29" t="s">
        <v>392</v>
      </c>
      <c r="D251" s="29"/>
      <c r="E251" s="29"/>
      <c r="F251" s="29" t="s">
        <v>942</v>
      </c>
      <c r="G251" s="29" t="s">
        <v>97</v>
      </c>
    </row>
    <row r="252" spans="1:7">
      <c r="A252" s="29" t="s">
        <v>943</v>
      </c>
      <c r="B252" s="29" t="s">
        <v>395</v>
      </c>
      <c r="C252" s="29" t="s">
        <v>396</v>
      </c>
      <c r="D252" s="29"/>
      <c r="E252" s="29"/>
      <c r="F252" s="29" t="s">
        <v>944</v>
      </c>
      <c r="G252" s="29" t="s">
        <v>97</v>
      </c>
    </row>
    <row r="253" spans="1:7">
      <c r="A253" s="29" t="s">
        <v>945</v>
      </c>
      <c r="B253" s="29" t="s">
        <v>399</v>
      </c>
      <c r="C253" s="29" t="s">
        <v>400</v>
      </c>
      <c r="D253" s="29"/>
      <c r="E253" s="29"/>
      <c r="F253" s="29" t="s">
        <v>946</v>
      </c>
      <c r="G253" s="29" t="s">
        <v>97</v>
      </c>
    </row>
    <row r="254" spans="1:7">
      <c r="A254" s="29" t="s">
        <v>947</v>
      </c>
      <c r="B254" s="29" t="s">
        <v>403</v>
      </c>
      <c r="C254" s="29" t="s">
        <v>404</v>
      </c>
      <c r="D254" s="29"/>
      <c r="E254" s="29"/>
      <c r="F254" s="29" t="s">
        <v>948</v>
      </c>
      <c r="G254" s="29" t="s">
        <v>97</v>
      </c>
    </row>
    <row r="255" spans="1:7">
      <c r="A255" s="29" t="s">
        <v>949</v>
      </c>
      <c r="B255" s="29" t="s">
        <v>407</v>
      </c>
      <c r="C255" s="29" t="s">
        <v>408</v>
      </c>
      <c r="D255" s="29"/>
      <c r="E255" s="29"/>
      <c r="F255" s="29" t="s">
        <v>950</v>
      </c>
      <c r="G255" s="29" t="s">
        <v>97</v>
      </c>
    </row>
    <row r="256" spans="1:7">
      <c r="A256" s="29" t="s">
        <v>951</v>
      </c>
      <c r="B256" s="29" t="s">
        <v>411</v>
      </c>
      <c r="C256" s="29" t="s">
        <v>412</v>
      </c>
      <c r="D256" s="29"/>
      <c r="E256" s="29"/>
      <c r="F256" s="29" t="s">
        <v>952</v>
      </c>
      <c r="G256" s="29" t="s">
        <v>97</v>
      </c>
    </row>
    <row r="257" spans="1:7">
      <c r="A257" s="29" t="s">
        <v>953</v>
      </c>
      <c r="B257" s="29" t="s">
        <v>415</v>
      </c>
      <c r="C257" s="29" t="s">
        <v>416</v>
      </c>
      <c r="D257" s="29"/>
      <c r="E257" s="29"/>
      <c r="F257" s="29" t="s">
        <v>954</v>
      </c>
      <c r="G257" s="29" t="s">
        <v>97</v>
      </c>
    </row>
    <row r="258" spans="1:7">
      <c r="A258" s="29" t="s">
        <v>955</v>
      </c>
      <c r="B258" s="29" t="s">
        <v>419</v>
      </c>
      <c r="C258" s="29" t="s">
        <v>420</v>
      </c>
      <c r="D258" s="29"/>
      <c r="E258" s="29"/>
      <c r="F258" s="29" t="s">
        <v>956</v>
      </c>
      <c r="G258" s="29" t="s">
        <v>97</v>
      </c>
    </row>
    <row r="259" spans="1:7">
      <c r="A259" s="29" t="s">
        <v>957</v>
      </c>
      <c r="B259" s="29" t="s">
        <v>423</v>
      </c>
      <c r="C259" s="29" t="s">
        <v>424</v>
      </c>
      <c r="D259" s="29"/>
      <c r="E259" s="29"/>
      <c r="F259" s="29" t="s">
        <v>958</v>
      </c>
      <c r="G259" s="29" t="s">
        <v>97</v>
      </c>
    </row>
    <row r="260" spans="1:7">
      <c r="A260" s="29" t="s">
        <v>959</v>
      </c>
      <c r="B260" s="29" t="s">
        <v>427</v>
      </c>
      <c r="C260" s="29" t="s">
        <v>428</v>
      </c>
      <c r="D260" s="29"/>
      <c r="E260" s="29"/>
      <c r="F260" s="29" t="s">
        <v>960</v>
      </c>
      <c r="G260" s="29" t="s">
        <v>97</v>
      </c>
    </row>
    <row r="261" spans="1:7">
      <c r="A261" s="29" t="s">
        <v>961</v>
      </c>
      <c r="B261" s="29" t="s">
        <v>431</v>
      </c>
      <c r="C261" s="29" t="s">
        <v>432</v>
      </c>
      <c r="D261" s="29"/>
      <c r="E261" s="29"/>
      <c r="F261" s="29" t="s">
        <v>962</v>
      </c>
      <c r="G261" s="29" t="s">
        <v>97</v>
      </c>
    </row>
    <row r="262" spans="1:7">
      <c r="A262" s="29" t="s">
        <v>963</v>
      </c>
      <c r="B262" s="29" t="s">
        <v>435</v>
      </c>
      <c r="C262" s="29" t="s">
        <v>436</v>
      </c>
      <c r="D262" s="29"/>
      <c r="E262" s="29"/>
      <c r="F262" s="29" t="s">
        <v>964</v>
      </c>
      <c r="G262" s="29" t="s">
        <v>97</v>
      </c>
    </row>
    <row r="263" spans="1:7">
      <c r="A263" s="29" t="s">
        <v>965</v>
      </c>
      <c r="B263" s="29" t="s">
        <v>439</v>
      </c>
      <c r="C263" s="29" t="s">
        <v>440</v>
      </c>
      <c r="D263" s="29"/>
      <c r="E263" s="29"/>
      <c r="F263" s="29" t="s">
        <v>966</v>
      </c>
      <c r="G263" s="29" t="s">
        <v>97</v>
      </c>
    </row>
    <row r="264" spans="1:7">
      <c r="A264" s="29" t="s">
        <v>967</v>
      </c>
      <c r="B264" s="29" t="s">
        <v>443</v>
      </c>
      <c r="C264" s="29" t="s">
        <v>444</v>
      </c>
      <c r="D264" s="29"/>
      <c r="E264" s="29"/>
      <c r="F264" s="29" t="s">
        <v>968</v>
      </c>
      <c r="G264" s="29" t="s">
        <v>97</v>
      </c>
    </row>
    <row r="265" spans="1:7">
      <c r="A265" s="29" t="s">
        <v>969</v>
      </c>
      <c r="B265" s="29" t="s">
        <v>447</v>
      </c>
      <c r="C265" s="29" t="s">
        <v>448</v>
      </c>
      <c r="D265" s="29"/>
      <c r="E265" s="29"/>
      <c r="F265" s="29" t="s">
        <v>970</v>
      </c>
      <c r="G265" s="29" t="s">
        <v>97</v>
      </c>
    </row>
    <row r="266" spans="1:7">
      <c r="A266" s="29" t="s">
        <v>971</v>
      </c>
      <c r="B266" s="29" t="s">
        <v>451</v>
      </c>
      <c r="C266" s="29" t="s">
        <v>452</v>
      </c>
      <c r="D266" s="29"/>
      <c r="E266" s="29"/>
      <c r="F266" s="29" t="s">
        <v>972</v>
      </c>
      <c r="G266" s="29" t="s">
        <v>97</v>
      </c>
    </row>
    <row r="267" spans="1:7">
      <c r="A267" s="29" t="s">
        <v>973</v>
      </c>
      <c r="B267" s="29" t="s">
        <v>455</v>
      </c>
      <c r="C267" s="29" t="s">
        <v>456</v>
      </c>
      <c r="D267" s="29"/>
      <c r="E267" s="29"/>
      <c r="F267" s="29" t="s">
        <v>974</v>
      </c>
      <c r="G267" s="29" t="s">
        <v>97</v>
      </c>
    </row>
    <row r="268" spans="1:7">
      <c r="A268" s="29" t="s">
        <v>975</v>
      </c>
      <c r="B268" s="29" t="s">
        <v>459</v>
      </c>
      <c r="C268" s="29" t="s">
        <v>460</v>
      </c>
      <c r="D268" s="29"/>
      <c r="E268" s="29"/>
      <c r="F268" s="29" t="s">
        <v>976</v>
      </c>
      <c r="G268" s="29" t="s">
        <v>97</v>
      </c>
    </row>
    <row r="269" spans="1:7">
      <c r="A269" s="29" t="s">
        <v>977</v>
      </c>
      <c r="B269" s="29" t="s">
        <v>463</v>
      </c>
      <c r="C269" s="29" t="s">
        <v>464</v>
      </c>
      <c r="D269" s="29"/>
      <c r="E269" s="29"/>
      <c r="F269" s="29" t="s">
        <v>978</v>
      </c>
      <c r="G269" s="29" t="s">
        <v>97</v>
      </c>
    </row>
    <row r="270" spans="1:7">
      <c r="A270" s="29" t="s">
        <v>979</v>
      </c>
      <c r="B270" s="29" t="s">
        <v>467</v>
      </c>
      <c r="C270" s="29" t="s">
        <v>468</v>
      </c>
      <c r="D270" s="29"/>
      <c r="E270" s="29"/>
      <c r="F270" s="29" t="s">
        <v>980</v>
      </c>
      <c r="G270" s="29" t="s">
        <v>97</v>
      </c>
    </row>
    <row r="271" spans="1:7">
      <c r="A271" s="29" t="s">
        <v>981</v>
      </c>
      <c r="B271" s="29" t="s">
        <v>476</v>
      </c>
      <c r="C271" s="29" t="s">
        <v>477</v>
      </c>
      <c r="D271" s="29"/>
      <c r="E271" s="29"/>
      <c r="F271" s="29" t="s">
        <v>982</v>
      </c>
      <c r="G271" s="29" t="s">
        <v>97</v>
      </c>
    </row>
    <row r="272" spans="1:7">
      <c r="A272" s="29" t="s">
        <v>983</v>
      </c>
      <c r="B272" s="29" t="s">
        <v>480</v>
      </c>
      <c r="C272" s="29" t="s">
        <v>481</v>
      </c>
      <c r="D272" s="29"/>
      <c r="E272" s="29"/>
      <c r="F272" s="29" t="s">
        <v>984</v>
      </c>
      <c r="G272" s="29" t="s">
        <v>97</v>
      </c>
    </row>
    <row r="273" spans="1:7">
      <c r="A273" s="29" t="s">
        <v>985</v>
      </c>
      <c r="B273" s="29" t="s">
        <v>484</v>
      </c>
      <c r="C273" s="29" t="s">
        <v>485</v>
      </c>
      <c r="D273" s="29"/>
      <c r="E273" s="29"/>
      <c r="F273" s="29" t="s">
        <v>986</v>
      </c>
      <c r="G273" s="29" t="s">
        <v>97</v>
      </c>
    </row>
    <row r="274" spans="1:7">
      <c r="A274" s="29" t="s">
        <v>987</v>
      </c>
      <c r="B274" s="29" t="s">
        <v>488</v>
      </c>
      <c r="C274" s="29" t="s">
        <v>489</v>
      </c>
      <c r="D274" s="29"/>
      <c r="E274" s="29"/>
      <c r="F274" s="29" t="s">
        <v>988</v>
      </c>
      <c r="G274" s="29" t="s">
        <v>97</v>
      </c>
    </row>
    <row r="275" spans="1:7">
      <c r="A275" s="29" t="s">
        <v>989</v>
      </c>
      <c r="B275" s="29" t="s">
        <v>492</v>
      </c>
      <c r="C275" s="29" t="s">
        <v>493</v>
      </c>
      <c r="D275" s="29"/>
      <c r="E275" s="29"/>
      <c r="F275" s="29" t="s">
        <v>990</v>
      </c>
      <c r="G275" s="29" t="s">
        <v>97</v>
      </c>
    </row>
    <row r="276" spans="1:7">
      <c r="A276" s="29" t="s">
        <v>991</v>
      </c>
      <c r="B276" s="29" t="s">
        <v>496</v>
      </c>
      <c r="C276" s="29" t="s">
        <v>497</v>
      </c>
      <c r="D276" s="29"/>
      <c r="E276" s="29"/>
      <c r="F276" s="29" t="s">
        <v>992</v>
      </c>
      <c r="G276" s="29" t="s">
        <v>97</v>
      </c>
    </row>
    <row r="277" spans="1:7">
      <c r="A277" s="29" t="s">
        <v>993</v>
      </c>
      <c r="B277" s="29" t="s">
        <v>500</v>
      </c>
      <c r="C277" s="29" t="s">
        <v>501</v>
      </c>
      <c r="D277" s="29"/>
      <c r="E277" s="29"/>
      <c r="F277" s="29" t="s">
        <v>994</v>
      </c>
      <c r="G277" s="29" t="s">
        <v>97</v>
      </c>
    </row>
    <row r="278" spans="1:7">
      <c r="A278" s="29" t="s">
        <v>995</v>
      </c>
      <c r="B278" s="29" t="s">
        <v>504</v>
      </c>
      <c r="C278" s="29" t="s">
        <v>505</v>
      </c>
      <c r="D278" s="29"/>
      <c r="E278" s="29"/>
      <c r="F278" s="29" t="s">
        <v>996</v>
      </c>
      <c r="G278" s="29" t="s">
        <v>97</v>
      </c>
    </row>
    <row r="279" spans="1:7">
      <c r="A279" s="29" t="s">
        <v>997</v>
      </c>
      <c r="B279" s="29" t="s">
        <v>508</v>
      </c>
      <c r="C279" s="29" t="s">
        <v>509</v>
      </c>
      <c r="D279" s="29"/>
      <c r="E279" s="29"/>
      <c r="F279" s="29" t="s">
        <v>998</v>
      </c>
      <c r="G279" s="29" t="s">
        <v>97</v>
      </c>
    </row>
    <row r="280" spans="1:7">
      <c r="A280" s="29" t="s">
        <v>999</v>
      </c>
      <c r="B280" s="29" t="s">
        <v>512</v>
      </c>
      <c r="C280" s="29" t="s">
        <v>513</v>
      </c>
      <c r="D280" s="29"/>
      <c r="E280" s="29"/>
      <c r="F280" s="29" t="s">
        <v>1000</v>
      </c>
      <c r="G280" s="29" t="s">
        <v>97</v>
      </c>
    </row>
    <row r="281" spans="1:7">
      <c r="A281" s="29" t="s">
        <v>1001</v>
      </c>
      <c r="B281" s="29" t="s">
        <v>516</v>
      </c>
      <c r="C281" s="29" t="s">
        <v>517</v>
      </c>
      <c r="D281" s="29"/>
      <c r="E281" s="29"/>
      <c r="F281" s="29" t="s">
        <v>1002</v>
      </c>
      <c r="G281" s="29" t="s">
        <v>97</v>
      </c>
    </row>
    <row r="282" spans="1:7">
      <c r="A282" s="29" t="s">
        <v>1003</v>
      </c>
      <c r="B282" s="29" t="s">
        <v>520</v>
      </c>
      <c r="C282" s="29" t="s">
        <v>521</v>
      </c>
      <c r="D282" s="29"/>
      <c r="E282" s="29"/>
      <c r="F282" s="29" t="s">
        <v>1004</v>
      </c>
      <c r="G282" s="29" t="s">
        <v>97</v>
      </c>
    </row>
    <row r="283" spans="1:7">
      <c r="A283" s="29" t="s">
        <v>1005</v>
      </c>
      <c r="B283" s="29" t="s">
        <v>524</v>
      </c>
      <c r="C283" s="29" t="s">
        <v>525</v>
      </c>
      <c r="D283" s="29"/>
      <c r="E283" s="29"/>
      <c r="F283" s="29" t="s">
        <v>1006</v>
      </c>
      <c r="G283" s="29" t="s">
        <v>97</v>
      </c>
    </row>
    <row r="284" spans="1:7">
      <c r="A284" s="29" t="s">
        <v>1007</v>
      </c>
      <c r="B284" s="29" t="s">
        <v>528</v>
      </c>
      <c r="C284" s="29" t="s">
        <v>529</v>
      </c>
      <c r="D284" s="29"/>
      <c r="E284" s="29"/>
      <c r="F284" s="29" t="s">
        <v>1008</v>
      </c>
      <c r="G284" s="29" t="s">
        <v>97</v>
      </c>
    </row>
    <row r="285" spans="1:7">
      <c r="A285" s="29" t="s">
        <v>1009</v>
      </c>
      <c r="B285" s="29" t="s">
        <v>532</v>
      </c>
      <c r="C285" s="29" t="s">
        <v>533</v>
      </c>
      <c r="D285" s="29"/>
      <c r="E285" s="29"/>
      <c r="F285" s="29" t="s">
        <v>1010</v>
      </c>
      <c r="G285" s="29" t="s">
        <v>97</v>
      </c>
    </row>
    <row r="286" spans="1:7">
      <c r="A286" s="29" t="s">
        <v>1011</v>
      </c>
      <c r="B286" s="29" t="s">
        <v>536</v>
      </c>
      <c r="C286" s="29" t="s">
        <v>537</v>
      </c>
      <c r="D286" s="29"/>
      <c r="E286" s="29"/>
      <c r="F286" s="29" t="s">
        <v>1012</v>
      </c>
      <c r="G286" s="29" t="s">
        <v>97</v>
      </c>
    </row>
    <row r="287" spans="1:7">
      <c r="A287" s="29" t="s">
        <v>1013</v>
      </c>
      <c r="B287" s="29" t="s">
        <v>540</v>
      </c>
      <c r="C287" s="29" t="s">
        <v>541</v>
      </c>
      <c r="D287" s="29"/>
      <c r="E287" s="29"/>
      <c r="F287" s="29" t="s">
        <v>1014</v>
      </c>
      <c r="G287" s="29" t="s">
        <v>97</v>
      </c>
    </row>
    <row r="288" spans="1:7">
      <c r="A288" s="29" t="s">
        <v>1015</v>
      </c>
      <c r="B288" s="29" t="s">
        <v>544</v>
      </c>
      <c r="C288" s="29" t="s">
        <v>545</v>
      </c>
      <c r="D288" s="29"/>
      <c r="E288" s="29"/>
      <c r="F288" s="29" t="s">
        <v>1016</v>
      </c>
      <c r="G288" s="29" t="s">
        <v>97</v>
      </c>
    </row>
    <row r="289" spans="1:7">
      <c r="A289" s="29" t="s">
        <v>1017</v>
      </c>
      <c r="B289" s="29" t="s">
        <v>548</v>
      </c>
      <c r="C289" s="29" t="s">
        <v>549</v>
      </c>
      <c r="D289" s="29"/>
      <c r="E289" s="29"/>
      <c r="F289" s="29" t="s">
        <v>1018</v>
      </c>
      <c r="G289" s="29" t="s">
        <v>97</v>
      </c>
    </row>
    <row r="290" spans="1:7">
      <c r="A290" s="29" t="s">
        <v>1019</v>
      </c>
      <c r="B290" s="29" t="s">
        <v>552</v>
      </c>
      <c r="C290" s="29" t="s">
        <v>553</v>
      </c>
      <c r="D290" s="29"/>
      <c r="E290" s="29"/>
      <c r="F290" s="29" t="s">
        <v>1020</v>
      </c>
      <c r="G290" s="29" t="s">
        <v>97</v>
      </c>
    </row>
    <row r="291" spans="1:7">
      <c r="A291" s="29" t="s">
        <v>1021</v>
      </c>
      <c r="B291" s="29" t="s">
        <v>560</v>
      </c>
      <c r="C291" s="29" t="s">
        <v>561</v>
      </c>
      <c r="D291" s="29"/>
      <c r="E291" s="29"/>
      <c r="F291" s="29" t="s">
        <v>1022</v>
      </c>
      <c r="G291" s="29" t="s">
        <v>97</v>
      </c>
    </row>
    <row r="292" spans="1:7">
      <c r="A292" s="29" t="s">
        <v>1023</v>
      </c>
      <c r="B292" s="29" t="s">
        <v>564</v>
      </c>
      <c r="C292" s="29" t="s">
        <v>565</v>
      </c>
      <c r="D292" s="29"/>
      <c r="E292" s="29"/>
      <c r="F292" s="29" t="s">
        <v>1024</v>
      </c>
      <c r="G292" s="29" t="s">
        <v>97</v>
      </c>
    </row>
    <row r="293" spans="1:7">
      <c r="A293" s="29" t="s">
        <v>1025</v>
      </c>
      <c r="B293" s="29" t="s">
        <v>568</v>
      </c>
      <c r="C293" s="29" t="s">
        <v>569</v>
      </c>
      <c r="D293" s="29"/>
      <c r="E293" s="29"/>
      <c r="F293" s="29" t="s">
        <v>1026</v>
      </c>
      <c r="G293" s="29" t="s">
        <v>97</v>
      </c>
    </row>
    <row r="294" spans="1:7">
      <c r="A294" s="29" t="s">
        <v>1027</v>
      </c>
      <c r="B294" s="29" t="s">
        <v>572</v>
      </c>
      <c r="C294" s="29" t="s">
        <v>573</v>
      </c>
      <c r="D294" s="29"/>
      <c r="E294" s="29"/>
      <c r="F294" s="29" t="s">
        <v>1028</v>
      </c>
      <c r="G294" s="29" t="s">
        <v>97</v>
      </c>
    </row>
    <row r="295" spans="1:7">
      <c r="A295" s="29" t="s">
        <v>1029</v>
      </c>
      <c r="B295" s="29" t="s">
        <v>576</v>
      </c>
      <c r="C295" s="29" t="s">
        <v>577</v>
      </c>
      <c r="D295" s="29"/>
      <c r="E295" s="29"/>
      <c r="F295" s="29" t="s">
        <v>1030</v>
      </c>
      <c r="G295" s="29" t="s">
        <v>97</v>
      </c>
    </row>
    <row r="296" spans="1:7">
      <c r="A296" s="29" t="s">
        <v>1031</v>
      </c>
      <c r="B296" s="29" t="s">
        <v>580</v>
      </c>
      <c r="C296" s="29" t="s">
        <v>581</v>
      </c>
      <c r="D296" s="29"/>
      <c r="E296" s="29"/>
      <c r="F296" s="29" t="s">
        <v>1032</v>
      </c>
      <c r="G296" s="29" t="s">
        <v>97</v>
      </c>
    </row>
    <row r="297" spans="1:7">
      <c r="A297" s="29" t="s">
        <v>1033</v>
      </c>
      <c r="B297" s="29" t="s">
        <v>584</v>
      </c>
      <c r="C297" s="29" t="s">
        <v>585</v>
      </c>
      <c r="D297" s="29"/>
      <c r="E297" s="29"/>
      <c r="F297" s="29" t="s">
        <v>1034</v>
      </c>
      <c r="G297" s="29" t="s">
        <v>97</v>
      </c>
    </row>
    <row r="298" spans="1:7">
      <c r="A298" s="29" t="s">
        <v>1035</v>
      </c>
      <c r="B298" s="29" t="s">
        <v>588</v>
      </c>
      <c r="C298" s="29" t="s">
        <v>589</v>
      </c>
      <c r="D298" s="29"/>
      <c r="E298" s="29"/>
      <c r="F298" s="29" t="s">
        <v>1036</v>
      </c>
      <c r="G298" s="29" t="s">
        <v>97</v>
      </c>
    </row>
    <row r="299" spans="1:7">
      <c r="A299" s="29" t="s">
        <v>1037</v>
      </c>
      <c r="B299" s="29" t="s">
        <v>592</v>
      </c>
      <c r="C299" s="29" t="s">
        <v>593</v>
      </c>
      <c r="D299" s="29"/>
      <c r="E299" s="29"/>
      <c r="F299" s="29" t="s">
        <v>1038</v>
      </c>
      <c r="G299" s="29" t="s">
        <v>97</v>
      </c>
    </row>
    <row r="300" spans="1:7">
      <c r="A300" s="29" t="s">
        <v>1039</v>
      </c>
      <c r="B300" s="29" t="s">
        <v>596</v>
      </c>
      <c r="C300" s="29" t="s">
        <v>597</v>
      </c>
      <c r="D300" s="29"/>
      <c r="E300" s="29"/>
      <c r="F300" s="29" t="s">
        <v>1040</v>
      </c>
      <c r="G300" s="29" t="s">
        <v>97</v>
      </c>
    </row>
    <row r="301" spans="1:7">
      <c r="A301" s="29" t="s">
        <v>1041</v>
      </c>
      <c r="B301" s="29" t="s">
        <v>600</v>
      </c>
      <c r="C301" s="29" t="s">
        <v>601</v>
      </c>
      <c r="D301" s="29"/>
      <c r="E301" s="29"/>
      <c r="F301" s="29" t="s">
        <v>1042</v>
      </c>
      <c r="G301" s="29" t="s">
        <v>97</v>
      </c>
    </row>
    <row r="302" spans="1:7">
      <c r="A302" s="29" t="s">
        <v>1043</v>
      </c>
      <c r="B302" s="29" t="s">
        <v>604</v>
      </c>
      <c r="C302" s="29" t="s">
        <v>605</v>
      </c>
      <c r="D302" s="29"/>
      <c r="E302" s="29"/>
      <c r="F302" s="29" t="s">
        <v>1044</v>
      </c>
      <c r="G302" s="29" t="s">
        <v>97</v>
      </c>
    </row>
    <row r="303" spans="1:7">
      <c r="A303" s="29" t="s">
        <v>1045</v>
      </c>
      <c r="B303" s="29" t="s">
        <v>608</v>
      </c>
      <c r="C303" s="29" t="s">
        <v>609</v>
      </c>
      <c r="D303" s="29"/>
      <c r="E303" s="29"/>
      <c r="F303" s="29" t="s">
        <v>1046</v>
      </c>
      <c r="G303" s="29" t="s">
        <v>97</v>
      </c>
    </row>
    <row r="304" spans="1:7">
      <c r="A304" s="29" t="s">
        <v>1047</v>
      </c>
      <c r="B304" s="29" t="s">
        <v>612</v>
      </c>
      <c r="C304" s="29" t="s">
        <v>613</v>
      </c>
      <c r="D304" s="29"/>
      <c r="E304" s="29"/>
      <c r="F304" s="29" t="s">
        <v>1048</v>
      </c>
      <c r="G304" s="29" t="s">
        <v>97</v>
      </c>
    </row>
    <row r="305" spans="1:7">
      <c r="A305" s="29" t="s">
        <v>1049</v>
      </c>
      <c r="B305" s="29" t="s">
        <v>616</v>
      </c>
      <c r="C305" s="29" t="s">
        <v>617</v>
      </c>
      <c r="D305" s="29"/>
      <c r="E305" s="29"/>
      <c r="F305" s="29" t="s">
        <v>1050</v>
      </c>
      <c r="G305" s="29" t="s">
        <v>97</v>
      </c>
    </row>
    <row r="306" spans="1:7">
      <c r="A306" s="29" t="s">
        <v>1051</v>
      </c>
      <c r="B306" s="29" t="s">
        <v>620</v>
      </c>
      <c r="C306" s="29" t="s">
        <v>621</v>
      </c>
      <c r="D306" s="29"/>
      <c r="E306" s="29"/>
      <c r="F306" s="29" t="s">
        <v>1052</v>
      </c>
      <c r="G306" s="29" t="s">
        <v>97</v>
      </c>
    </row>
    <row r="307" spans="1:7">
      <c r="A307" s="29" t="s">
        <v>1053</v>
      </c>
      <c r="B307" s="29" t="s">
        <v>624</v>
      </c>
      <c r="C307" s="29" t="s">
        <v>625</v>
      </c>
      <c r="D307" s="29"/>
      <c r="E307" s="29"/>
      <c r="F307" s="29" t="s">
        <v>1054</v>
      </c>
      <c r="G307" s="29" t="s">
        <v>97</v>
      </c>
    </row>
    <row r="308" spans="1:7">
      <c r="A308" s="29" t="s">
        <v>1055</v>
      </c>
      <c r="B308" s="29" t="s">
        <v>628</v>
      </c>
      <c r="C308" s="29" t="s">
        <v>629</v>
      </c>
      <c r="D308" s="29"/>
      <c r="E308" s="29"/>
      <c r="F308" s="29" t="s">
        <v>1056</v>
      </c>
      <c r="G308" s="29" t="s">
        <v>97</v>
      </c>
    </row>
    <row r="309" spans="1:7">
      <c r="A309" s="29" t="s">
        <v>1057</v>
      </c>
      <c r="B309" s="29" t="s">
        <v>632</v>
      </c>
      <c r="C309" s="29" t="s">
        <v>633</v>
      </c>
      <c r="D309" s="29"/>
      <c r="E309" s="29"/>
      <c r="F309" s="29" t="s">
        <v>1058</v>
      </c>
      <c r="G309" s="29" t="s">
        <v>97</v>
      </c>
    </row>
    <row r="310" spans="1:7">
      <c r="A310" s="29" t="s">
        <v>1059</v>
      </c>
      <c r="B310" s="29" t="s">
        <v>636</v>
      </c>
      <c r="C310" s="29" t="s">
        <v>637</v>
      </c>
      <c r="D310" s="29"/>
      <c r="E310" s="29"/>
      <c r="F310" s="29" t="s">
        <v>1060</v>
      </c>
      <c r="G310" s="29" t="s">
        <v>97</v>
      </c>
    </row>
    <row r="311" spans="1:7">
      <c r="A311" s="29" t="s">
        <v>1061</v>
      </c>
      <c r="B311" s="29" t="s">
        <v>640</v>
      </c>
      <c r="C311" s="29" t="s">
        <v>641</v>
      </c>
      <c r="D311" s="29"/>
      <c r="E311" s="29"/>
      <c r="F311" s="29" t="s">
        <v>1062</v>
      </c>
      <c r="G311" s="29" t="s">
        <v>97</v>
      </c>
    </row>
    <row r="312" spans="1:7">
      <c r="A312" s="29" t="s">
        <v>1063</v>
      </c>
      <c r="B312" s="29" t="s">
        <v>644</v>
      </c>
      <c r="C312" s="29" t="s">
        <v>645</v>
      </c>
      <c r="D312" s="29"/>
      <c r="E312" s="29"/>
      <c r="F312" s="29" t="s">
        <v>1064</v>
      </c>
      <c r="G312" s="29" t="s">
        <v>97</v>
      </c>
    </row>
    <row r="313" spans="1:7">
      <c r="A313" s="29" t="s">
        <v>1065</v>
      </c>
      <c r="B313" s="29" t="s">
        <v>648</v>
      </c>
      <c r="C313" s="29" t="s">
        <v>649</v>
      </c>
      <c r="D313" s="29"/>
      <c r="E313" s="29"/>
      <c r="F313" s="29" t="s">
        <v>1066</v>
      </c>
      <c r="G313" s="29" t="s">
        <v>97</v>
      </c>
    </row>
    <row r="314" spans="1:7">
      <c r="A314" s="29" t="s">
        <v>1067</v>
      </c>
      <c r="B314" s="29" t="s">
        <v>652</v>
      </c>
      <c r="C314" s="29" t="s">
        <v>653</v>
      </c>
      <c r="D314" s="29"/>
      <c r="E314" s="29"/>
      <c r="F314" s="29" t="s">
        <v>1068</v>
      </c>
      <c r="G314" s="29" t="s">
        <v>97</v>
      </c>
    </row>
    <row r="315" spans="1:7">
      <c r="A315" s="29" t="s">
        <v>1069</v>
      </c>
      <c r="B315" s="29" t="s">
        <v>656</v>
      </c>
      <c r="C315" s="29" t="s">
        <v>657</v>
      </c>
      <c r="D315" s="29"/>
      <c r="E315" s="29"/>
      <c r="F315" s="29" t="s">
        <v>1070</v>
      </c>
      <c r="G315" s="29" t="s">
        <v>97</v>
      </c>
    </row>
    <row r="316" spans="1:7">
      <c r="A316" s="29" t="s">
        <v>1071</v>
      </c>
      <c r="B316" s="29" t="s">
        <v>660</v>
      </c>
      <c r="C316" s="29" t="s">
        <v>661</v>
      </c>
      <c r="D316" s="29"/>
      <c r="E316" s="29"/>
      <c r="F316" s="29" t="s">
        <v>1072</v>
      </c>
      <c r="G316" s="29" t="s">
        <v>97</v>
      </c>
    </row>
    <row r="317" spans="1:7">
      <c r="A317" s="29" t="s">
        <v>1073</v>
      </c>
      <c r="B317" s="29" t="s">
        <v>664</v>
      </c>
      <c r="C317" s="29" t="s">
        <v>665</v>
      </c>
      <c r="D317" s="29"/>
      <c r="E317" s="29"/>
      <c r="F317" s="29" t="s">
        <v>1074</v>
      </c>
      <c r="G317" s="29" t="s">
        <v>97</v>
      </c>
    </row>
    <row r="318" spans="1:7">
      <c r="A318" s="29" t="s">
        <v>1075</v>
      </c>
      <c r="B318" s="29" t="s">
        <v>668</v>
      </c>
      <c r="C318" s="29" t="s">
        <v>669</v>
      </c>
      <c r="D318" s="29"/>
      <c r="E318" s="29"/>
      <c r="F318" s="29" t="s">
        <v>1076</v>
      </c>
      <c r="G318" s="29" t="s">
        <v>97</v>
      </c>
    </row>
    <row r="319" spans="1:7">
      <c r="A319" s="29" t="s">
        <v>1077</v>
      </c>
      <c r="B319" s="29" t="s">
        <v>672</v>
      </c>
      <c r="C319" s="29" t="s">
        <v>673</v>
      </c>
      <c r="D319" s="29"/>
      <c r="E319" s="29"/>
      <c r="F319" s="29" t="s">
        <v>1078</v>
      </c>
      <c r="G319" s="29" t="s">
        <v>97</v>
      </c>
    </row>
    <row r="320" spans="1:7">
      <c r="A320" s="29" t="s">
        <v>1079</v>
      </c>
      <c r="B320" s="29" t="s">
        <v>676</v>
      </c>
      <c r="C320" s="29" t="s">
        <v>677</v>
      </c>
      <c r="D320" s="29"/>
      <c r="E320" s="29"/>
      <c r="F320" s="29" t="s">
        <v>1080</v>
      </c>
      <c r="G320" s="29" t="s">
        <v>97</v>
      </c>
    </row>
    <row r="321" spans="1:7">
      <c r="A321" s="29" t="s">
        <v>1081</v>
      </c>
      <c r="B321" s="29" t="s">
        <v>680</v>
      </c>
      <c r="C321" s="29" t="s">
        <v>681</v>
      </c>
      <c r="D321" s="29"/>
      <c r="E321" s="29"/>
      <c r="F321" s="29" t="s">
        <v>1082</v>
      </c>
      <c r="G321" s="29" t="s">
        <v>97</v>
      </c>
    </row>
    <row r="322" spans="1:7">
      <c r="A322" s="29" t="s">
        <v>1083</v>
      </c>
      <c r="B322" s="29" t="s">
        <v>684</v>
      </c>
      <c r="C322" s="29" t="s">
        <v>685</v>
      </c>
      <c r="D322" s="29"/>
      <c r="E322" s="29"/>
      <c r="F322" s="29" t="s">
        <v>1084</v>
      </c>
      <c r="G322" s="29" t="s">
        <v>97</v>
      </c>
    </row>
    <row r="323" spans="1:7">
      <c r="A323" s="29" t="s">
        <v>1085</v>
      </c>
      <c r="B323" s="29" t="s">
        <v>688</v>
      </c>
      <c r="C323" s="29" t="s">
        <v>689</v>
      </c>
      <c r="D323" s="29"/>
      <c r="E323" s="29"/>
      <c r="F323" s="29" t="s">
        <v>1086</v>
      </c>
      <c r="G323" s="29" t="s">
        <v>97</v>
      </c>
    </row>
    <row r="324" spans="1:7">
      <c r="A324" s="29" t="s">
        <v>1087</v>
      </c>
      <c r="B324" s="29" t="s">
        <v>692</v>
      </c>
      <c r="C324" s="29" t="s">
        <v>693</v>
      </c>
      <c r="D324" s="29"/>
      <c r="E324" s="29"/>
      <c r="F324" s="29" t="s">
        <v>1088</v>
      </c>
      <c r="G324" s="29" t="s">
        <v>97</v>
      </c>
    </row>
    <row r="325" spans="1:7">
      <c r="A325" s="29" t="s">
        <v>1089</v>
      </c>
      <c r="B325" s="29" t="s">
        <v>696</v>
      </c>
      <c r="C325" s="29" t="s">
        <v>697</v>
      </c>
      <c r="D325" s="29"/>
      <c r="E325" s="29"/>
      <c r="F325" s="29" t="s">
        <v>1090</v>
      </c>
      <c r="G325" s="29" t="s">
        <v>97</v>
      </c>
    </row>
    <row r="326" spans="1:7">
      <c r="A326" s="29" t="s">
        <v>1091</v>
      </c>
      <c r="B326" s="29" t="s">
        <v>700</v>
      </c>
      <c r="C326" s="29" t="s">
        <v>701</v>
      </c>
      <c r="D326" s="29"/>
      <c r="E326" s="29"/>
      <c r="F326" s="29" t="s">
        <v>1092</v>
      </c>
      <c r="G326" s="29" t="s">
        <v>97</v>
      </c>
    </row>
    <row r="327" spans="1:7">
      <c r="A327" s="29" t="s">
        <v>1093</v>
      </c>
      <c r="B327" s="29" t="s">
        <v>704</v>
      </c>
      <c r="C327" s="29" t="s">
        <v>705</v>
      </c>
      <c r="D327" s="29"/>
      <c r="E327" s="29"/>
      <c r="F327" s="29" t="s">
        <v>1094</v>
      </c>
      <c r="G327" s="29" t="s">
        <v>97</v>
      </c>
    </row>
    <row r="328" spans="1:7">
      <c r="A328" s="29" t="s">
        <v>1095</v>
      </c>
      <c r="B328" s="29" t="s">
        <v>708</v>
      </c>
      <c r="C328" s="29" t="s">
        <v>709</v>
      </c>
      <c r="D328" s="29"/>
      <c r="E328" s="29"/>
      <c r="F328" s="29" t="s">
        <v>1096</v>
      </c>
      <c r="G328" s="29" t="s">
        <v>97</v>
      </c>
    </row>
    <row r="329" spans="1:7">
      <c r="A329" s="29" t="s">
        <v>1097</v>
      </c>
      <c r="B329" s="29" t="s">
        <v>712</v>
      </c>
      <c r="C329" s="29" t="s">
        <v>713</v>
      </c>
      <c r="D329" s="29"/>
      <c r="E329" s="29"/>
      <c r="F329" s="29" t="s">
        <v>1098</v>
      </c>
      <c r="G329" s="29" t="s">
        <v>97</v>
      </c>
    </row>
    <row r="330" spans="1:7">
      <c r="A330" s="29" t="s">
        <v>1099</v>
      </c>
      <c r="B330" s="29" t="s">
        <v>716</v>
      </c>
      <c r="C330" s="29" t="s">
        <v>717</v>
      </c>
      <c r="D330" s="29"/>
      <c r="E330" s="29"/>
      <c r="F330" s="29" t="s">
        <v>1100</v>
      </c>
      <c r="G330" s="29" t="s">
        <v>97</v>
      </c>
    </row>
    <row r="331" spans="1:7">
      <c r="A331" s="29" t="s">
        <v>1101</v>
      </c>
      <c r="B331" s="29" t="s">
        <v>720</v>
      </c>
      <c r="C331" s="29" t="s">
        <v>721</v>
      </c>
      <c r="D331" s="29"/>
      <c r="E331" s="29"/>
      <c r="F331" s="29" t="s">
        <v>1102</v>
      </c>
      <c r="G331" s="29" t="s">
        <v>97</v>
      </c>
    </row>
    <row r="332" spans="1:7">
      <c r="A332" s="29" t="s">
        <v>1103</v>
      </c>
      <c r="B332" s="29" t="s">
        <v>724</v>
      </c>
      <c r="C332" s="29" t="s">
        <v>725</v>
      </c>
      <c r="D332" s="29"/>
      <c r="E332" s="29"/>
      <c r="F332" s="29" t="s">
        <v>1104</v>
      </c>
      <c r="G332" s="29" t="s">
        <v>97</v>
      </c>
    </row>
    <row r="333" spans="1:7">
      <c r="A333" s="29" t="s">
        <v>1105</v>
      </c>
      <c r="B333" s="29" t="s">
        <v>728</v>
      </c>
      <c r="C333" s="29" t="s">
        <v>729</v>
      </c>
      <c r="D333" s="29"/>
      <c r="E333" s="29"/>
      <c r="F333" s="29" t="s">
        <v>1106</v>
      </c>
      <c r="G333" s="29" t="s">
        <v>97</v>
      </c>
    </row>
    <row r="334" spans="1:7">
      <c r="A334" s="29" t="s">
        <v>1107</v>
      </c>
      <c r="B334" s="29" t="s">
        <v>732</v>
      </c>
      <c r="C334" s="29" t="s">
        <v>733</v>
      </c>
      <c r="D334" s="29"/>
      <c r="E334" s="29"/>
      <c r="F334" s="29" t="s">
        <v>1108</v>
      </c>
      <c r="G334" s="29" t="s">
        <v>97</v>
      </c>
    </row>
    <row r="335" spans="1:7">
      <c r="A335" s="29" t="s">
        <v>1109</v>
      </c>
      <c r="B335" s="29" t="s">
        <v>736</v>
      </c>
      <c r="C335" s="29" t="s">
        <v>737</v>
      </c>
      <c r="D335" s="29"/>
      <c r="E335" s="29"/>
      <c r="F335" s="29" t="s">
        <v>1110</v>
      </c>
      <c r="G335" s="29" t="s">
        <v>97</v>
      </c>
    </row>
    <row r="336" spans="1:7">
      <c r="A336" s="29" t="s">
        <v>1111</v>
      </c>
      <c r="B336" s="29" t="s">
        <v>740</v>
      </c>
      <c r="C336" s="29" t="s">
        <v>741</v>
      </c>
      <c r="D336" s="29"/>
      <c r="E336" s="29"/>
      <c r="F336" s="29" t="s">
        <v>1112</v>
      </c>
      <c r="G336" s="29" t="s">
        <v>97</v>
      </c>
    </row>
    <row r="337" spans="1:7">
      <c r="A337" s="29" t="s">
        <v>1113</v>
      </c>
      <c r="B337" s="29" t="s">
        <v>744</v>
      </c>
      <c r="C337" s="29" t="s">
        <v>745</v>
      </c>
      <c r="D337" s="29"/>
      <c r="E337" s="29"/>
      <c r="F337" s="29" t="s">
        <v>1114</v>
      </c>
      <c r="G337" s="29" t="s">
        <v>97</v>
      </c>
    </row>
    <row r="338" spans="1:7">
      <c r="A338" s="29" t="s">
        <v>1115</v>
      </c>
      <c r="B338" s="29" t="s">
        <v>748</v>
      </c>
      <c r="C338" s="29" t="s">
        <v>749</v>
      </c>
      <c r="D338" s="29"/>
      <c r="E338" s="29"/>
      <c r="F338" s="29" t="s">
        <v>1116</v>
      </c>
      <c r="G338" s="29" t="s">
        <v>97</v>
      </c>
    </row>
    <row r="339" spans="1:7">
      <c r="A339" s="29" t="s">
        <v>1117</v>
      </c>
      <c r="B339" s="29" t="s">
        <v>752</v>
      </c>
      <c r="C339" s="29" t="s">
        <v>753</v>
      </c>
      <c r="D339" s="29"/>
      <c r="E339" s="29"/>
      <c r="F339" s="29" t="s">
        <v>1118</v>
      </c>
      <c r="G339" s="29" t="s">
        <v>97</v>
      </c>
    </row>
    <row r="340" spans="1:7">
      <c r="A340" s="29" t="s">
        <v>1119</v>
      </c>
      <c r="B340" s="29" t="s">
        <v>756</v>
      </c>
      <c r="C340" s="29" t="s">
        <v>757</v>
      </c>
      <c r="D340" s="29"/>
      <c r="E340" s="29"/>
      <c r="F340" s="29" t="s">
        <v>1120</v>
      </c>
      <c r="G340" s="29" t="s">
        <v>97</v>
      </c>
    </row>
    <row r="341" spans="1:7">
      <c r="A341" s="29" t="s">
        <v>1121</v>
      </c>
      <c r="B341" s="29" t="s">
        <v>760</v>
      </c>
      <c r="C341" s="29" t="s">
        <v>761</v>
      </c>
      <c r="D341" s="29"/>
      <c r="E341" s="29"/>
      <c r="F341" s="29" t="s">
        <v>1122</v>
      </c>
      <c r="G341" s="29" t="s">
        <v>97</v>
      </c>
    </row>
    <row r="342" spans="1:7">
      <c r="A342" s="29" t="s">
        <v>1123</v>
      </c>
      <c r="B342" s="29" t="s">
        <v>764</v>
      </c>
      <c r="C342" s="29" t="s">
        <v>765</v>
      </c>
      <c r="D342" s="29"/>
      <c r="E342" s="29"/>
      <c r="F342" s="29" t="s">
        <v>1124</v>
      </c>
      <c r="G342" s="29" t="s">
        <v>97</v>
      </c>
    </row>
    <row r="343" spans="1:7">
      <c r="A343" s="29" t="s">
        <v>1125</v>
      </c>
      <c r="B343" s="29" t="s">
        <v>768</v>
      </c>
      <c r="C343" s="29" t="s">
        <v>769</v>
      </c>
      <c r="D343" s="29"/>
      <c r="E343" s="29"/>
      <c r="F343" s="29" t="s">
        <v>1126</v>
      </c>
      <c r="G343" s="29" t="s">
        <v>97</v>
      </c>
    </row>
    <row r="344" spans="1:7">
      <c r="A344" s="29" t="s">
        <v>1127</v>
      </c>
      <c r="B344" s="29" t="s">
        <v>772</v>
      </c>
      <c r="C344" s="29" t="s">
        <v>773</v>
      </c>
      <c r="D344" s="29"/>
      <c r="E344" s="29"/>
      <c r="F344" s="29" t="s">
        <v>1128</v>
      </c>
      <c r="G344" s="29" t="s">
        <v>97</v>
      </c>
    </row>
    <row r="345" spans="1:7">
      <c r="A345" s="29" t="s">
        <v>1129</v>
      </c>
      <c r="B345" s="29" t="s">
        <v>776</v>
      </c>
      <c r="C345" s="29" t="s">
        <v>777</v>
      </c>
      <c r="D345" s="29"/>
      <c r="E345" s="29"/>
      <c r="F345" s="29" t="s">
        <v>1130</v>
      </c>
      <c r="G345" s="29" t="s">
        <v>97</v>
      </c>
    </row>
    <row r="346" spans="1:7">
      <c r="A346" s="29" t="s">
        <v>1131</v>
      </c>
      <c r="B346" s="29" t="s">
        <v>780</v>
      </c>
      <c r="C346" s="29" t="s">
        <v>781</v>
      </c>
      <c r="D346" s="29"/>
      <c r="E346" s="29"/>
      <c r="F346" s="29" t="s">
        <v>1132</v>
      </c>
      <c r="G346" s="29" t="s">
        <v>97</v>
      </c>
    </row>
    <row r="347" spans="1:7">
      <c r="A347" s="29" t="s">
        <v>1133</v>
      </c>
      <c r="B347" s="29" t="s">
        <v>784</v>
      </c>
      <c r="C347" s="29" t="s">
        <v>785</v>
      </c>
      <c r="D347" s="29"/>
      <c r="E347" s="29"/>
      <c r="F347" s="29" t="s">
        <v>1134</v>
      </c>
      <c r="G347" s="29" t="s">
        <v>97</v>
      </c>
    </row>
    <row r="348" spans="1:7">
      <c r="A348" s="29" t="s">
        <v>1135</v>
      </c>
      <c r="B348" s="29" t="s">
        <v>1136</v>
      </c>
      <c r="C348" s="29" t="s">
        <v>1137</v>
      </c>
      <c r="D348" s="29" t="s">
        <v>1138</v>
      </c>
      <c r="E348" s="29" t="s">
        <v>1139</v>
      </c>
      <c r="F348" s="29" t="s">
        <v>473</v>
      </c>
      <c r="G348" s="29" t="s">
        <v>97</v>
      </c>
    </row>
    <row r="349" spans="1:7">
      <c r="A349" s="29" t="s">
        <v>1140</v>
      </c>
      <c r="B349" s="29" t="s">
        <v>1141</v>
      </c>
      <c r="C349" s="29" t="s">
        <v>1142</v>
      </c>
      <c r="D349" s="29" t="s">
        <v>1143</v>
      </c>
      <c r="E349" s="29" t="s">
        <v>1144</v>
      </c>
      <c r="F349" s="29" t="s">
        <v>473</v>
      </c>
      <c r="G349" s="29" t="s">
        <v>97</v>
      </c>
    </row>
    <row r="350" spans="1:7">
      <c r="A350" s="29" t="s">
        <v>1145</v>
      </c>
      <c r="B350" s="29" t="s">
        <v>1146</v>
      </c>
      <c r="C350" s="29" t="s">
        <v>1147</v>
      </c>
      <c r="D350" s="29" t="s">
        <v>1148</v>
      </c>
      <c r="E350" s="29" t="s">
        <v>1149</v>
      </c>
      <c r="F350" s="29" t="s">
        <v>473</v>
      </c>
      <c r="G350" s="29" t="s">
        <v>97</v>
      </c>
    </row>
    <row r="351" spans="1:7">
      <c r="A351" s="29" t="s">
        <v>1150</v>
      </c>
      <c r="B351" s="29" t="s">
        <v>1151</v>
      </c>
      <c r="C351" s="29" t="s">
        <v>1152</v>
      </c>
      <c r="D351" s="29" t="s">
        <v>473</v>
      </c>
      <c r="E351" s="29" t="s">
        <v>473</v>
      </c>
      <c r="F351" s="29" t="s">
        <v>1153</v>
      </c>
      <c r="G351" s="29" t="s">
        <v>1154</v>
      </c>
    </row>
    <row r="352" spans="1:7">
      <c r="A352" s="29" t="s">
        <v>1155</v>
      </c>
      <c r="B352" s="29" t="s">
        <v>1156</v>
      </c>
      <c r="C352" s="29" t="s">
        <v>1157</v>
      </c>
      <c r="D352" s="29"/>
      <c r="E352" s="29"/>
      <c r="F352" s="29" t="s">
        <v>473</v>
      </c>
      <c r="G352" s="29" t="s">
        <v>1158</v>
      </c>
    </row>
    <row r="353" spans="1:7">
      <c r="A353" s="29" t="s">
        <v>1159</v>
      </c>
      <c r="B353" s="29" t="s">
        <v>1160</v>
      </c>
      <c r="C353" s="29" t="s">
        <v>1161</v>
      </c>
      <c r="D353" s="29" t="s">
        <v>1162</v>
      </c>
      <c r="E353" s="29" t="s">
        <v>1163</v>
      </c>
      <c r="F353" s="29" t="s">
        <v>473</v>
      </c>
      <c r="G353" s="29" t="s">
        <v>97</v>
      </c>
    </row>
    <row r="354" spans="1:7">
      <c r="A354" s="29" t="s">
        <v>1164</v>
      </c>
      <c r="B354" s="29" t="s">
        <v>1165</v>
      </c>
      <c r="C354" s="29" t="s">
        <v>1166</v>
      </c>
      <c r="D354" s="29" t="s">
        <v>1167</v>
      </c>
      <c r="E354" s="29" t="s">
        <v>1168</v>
      </c>
      <c r="F354" s="29" t="s">
        <v>473</v>
      </c>
      <c r="G354" s="29" t="s">
        <v>97</v>
      </c>
    </row>
    <row r="355" spans="1:7">
      <c r="A355" s="29" t="s">
        <v>1169</v>
      </c>
      <c r="B355" s="29" t="s">
        <v>1170</v>
      </c>
      <c r="C355" s="29" t="s">
        <v>1171</v>
      </c>
      <c r="D355" s="29" t="s">
        <v>1172</v>
      </c>
      <c r="E355" s="29" t="s">
        <v>1173</v>
      </c>
      <c r="F355" s="29" t="s">
        <v>473</v>
      </c>
      <c r="G355" s="29" t="s">
        <v>97</v>
      </c>
    </row>
    <row r="356" spans="1:7">
      <c r="A356" s="29" t="s">
        <v>1174</v>
      </c>
      <c r="B356" s="29" t="s">
        <v>1175</v>
      </c>
      <c r="C356" s="29" t="s">
        <v>1176</v>
      </c>
      <c r="D356" s="29" t="s">
        <v>1177</v>
      </c>
      <c r="E356" s="29" t="s">
        <v>1178</v>
      </c>
      <c r="F356" s="29" t="s">
        <v>473</v>
      </c>
      <c r="G356" s="29" t="s">
        <v>97</v>
      </c>
    </row>
    <row r="357" spans="1:7">
      <c r="A357" s="29" t="s">
        <v>1179</v>
      </c>
      <c r="B357" s="29" t="s">
        <v>1180</v>
      </c>
      <c r="C357" s="29" t="s">
        <v>1181</v>
      </c>
      <c r="D357" s="29" t="s">
        <v>1182</v>
      </c>
      <c r="E357" s="29" t="s">
        <v>1183</v>
      </c>
      <c r="F357" s="29" t="s">
        <v>473</v>
      </c>
      <c r="G357" s="29" t="s">
        <v>97</v>
      </c>
    </row>
    <row r="358" spans="1:7">
      <c r="A358" s="29" t="s">
        <v>1184</v>
      </c>
      <c r="B358" s="29" t="s">
        <v>1185</v>
      </c>
      <c r="C358" s="29" t="s">
        <v>1186</v>
      </c>
      <c r="D358" s="29" t="s">
        <v>1187</v>
      </c>
      <c r="E358" s="29" t="s">
        <v>1188</v>
      </c>
      <c r="F358" s="29" t="s">
        <v>1189</v>
      </c>
      <c r="G358" s="29" t="s">
        <v>97</v>
      </c>
    </row>
    <row r="359" spans="1:7">
      <c r="A359" s="29" t="s">
        <v>1190</v>
      </c>
      <c r="B359" s="29" t="s">
        <v>1191</v>
      </c>
      <c r="C359" s="29" t="s">
        <v>1192</v>
      </c>
      <c r="D359" s="29" t="s">
        <v>1193</v>
      </c>
      <c r="E359" s="29" t="s">
        <v>1194</v>
      </c>
      <c r="F359" s="29" t="s">
        <v>473</v>
      </c>
      <c r="G359" s="29" t="s">
        <v>97</v>
      </c>
    </row>
    <row r="360" spans="1:7">
      <c r="A360" s="29" t="s">
        <v>1195</v>
      </c>
      <c r="B360" s="29" t="s">
        <v>1196</v>
      </c>
      <c r="C360" s="29" t="s">
        <v>1197</v>
      </c>
      <c r="D360" s="29" t="s">
        <v>1198</v>
      </c>
      <c r="E360" s="29" t="s">
        <v>1199</v>
      </c>
      <c r="F360" s="29" t="s">
        <v>473</v>
      </c>
      <c r="G360" s="29" t="s">
        <v>97</v>
      </c>
    </row>
    <row r="361" spans="1:7">
      <c r="A361" s="29" t="s">
        <v>1200</v>
      </c>
      <c r="B361" s="29" t="s">
        <v>1201</v>
      </c>
      <c r="C361" s="29" t="s">
        <v>1202</v>
      </c>
      <c r="D361" s="29" t="s">
        <v>1203</v>
      </c>
      <c r="E361" s="29" t="s">
        <v>1204</v>
      </c>
      <c r="F361" s="29" t="s">
        <v>473</v>
      </c>
      <c r="G361" s="29" t="s">
        <v>97</v>
      </c>
    </row>
    <row r="362" spans="1:7">
      <c r="A362" s="29" t="s">
        <v>1205</v>
      </c>
      <c r="B362" s="29" t="s">
        <v>1206</v>
      </c>
      <c r="C362" s="29" t="s">
        <v>1206</v>
      </c>
      <c r="D362" s="29" t="s">
        <v>1207</v>
      </c>
      <c r="E362" s="29" t="s">
        <v>1208</v>
      </c>
      <c r="F362" s="29" t="s">
        <v>473</v>
      </c>
      <c r="G362" s="29" t="s">
        <v>97</v>
      </c>
    </row>
    <row r="363" spans="1:7">
      <c r="A363" s="29" t="s">
        <v>1209</v>
      </c>
      <c r="B363" s="29" t="s">
        <v>1210</v>
      </c>
      <c r="C363" s="29" t="s">
        <v>1211</v>
      </c>
      <c r="D363" s="29" t="s">
        <v>1212</v>
      </c>
      <c r="E363" s="29" t="s">
        <v>1213</v>
      </c>
      <c r="F363" s="29" t="s">
        <v>1214</v>
      </c>
      <c r="G363" s="29" t="s">
        <v>97</v>
      </c>
    </row>
    <row r="364" spans="1:7">
      <c r="A364" s="29" t="s">
        <v>1215</v>
      </c>
      <c r="B364" s="29" t="s">
        <v>1216</v>
      </c>
      <c r="C364" s="29" t="s">
        <v>1217</v>
      </c>
      <c r="D364" s="29" t="s">
        <v>1218</v>
      </c>
      <c r="E364" s="29" t="s">
        <v>1219</v>
      </c>
      <c r="F364" s="29" t="s">
        <v>473</v>
      </c>
      <c r="G364" s="29" t="s">
        <v>97</v>
      </c>
    </row>
    <row r="365" spans="1:7">
      <c r="A365" s="29" t="s">
        <v>1220</v>
      </c>
      <c r="B365" s="29" t="s">
        <v>1221</v>
      </c>
      <c r="C365" s="29" t="s">
        <v>1222</v>
      </c>
      <c r="D365" s="29" t="s">
        <v>1223</v>
      </c>
      <c r="E365" s="29" t="s">
        <v>1224</v>
      </c>
      <c r="F365" s="29" t="s">
        <v>1225</v>
      </c>
      <c r="G365" s="29" t="s">
        <v>97</v>
      </c>
    </row>
    <row r="366" spans="1:7">
      <c r="A366" s="29" t="s">
        <v>1226</v>
      </c>
      <c r="B366" s="29" t="s">
        <v>1227</v>
      </c>
      <c r="C366" s="29" t="s">
        <v>1228</v>
      </c>
      <c r="D366" s="29" t="s">
        <v>1229</v>
      </c>
      <c r="E366" s="29" t="s">
        <v>1230</v>
      </c>
      <c r="F366" s="29" t="s">
        <v>1231</v>
      </c>
      <c r="G366" s="29" t="s">
        <v>1232</v>
      </c>
    </row>
    <row r="367" spans="1:7">
      <c r="A367" s="29" t="s">
        <v>1233</v>
      </c>
      <c r="B367" s="29" t="s">
        <v>1234</v>
      </c>
      <c r="C367" s="29" t="s">
        <v>1234</v>
      </c>
      <c r="D367" s="29" t="s">
        <v>1235</v>
      </c>
      <c r="E367" s="29" t="s">
        <v>1236</v>
      </c>
      <c r="F367" s="29" t="s">
        <v>473</v>
      </c>
      <c r="G367" s="29" t="s">
        <v>1237</v>
      </c>
    </row>
    <row r="368" spans="1:7">
      <c r="A368" s="29" t="s">
        <v>1238</v>
      </c>
      <c r="B368" s="29" t="s">
        <v>1239</v>
      </c>
      <c r="C368" s="29" t="s">
        <v>1239</v>
      </c>
      <c r="D368" s="29" t="s">
        <v>1240</v>
      </c>
      <c r="E368" s="29" t="s">
        <v>1241</v>
      </c>
      <c r="F368" s="29" t="s">
        <v>473</v>
      </c>
      <c r="G368" s="29" t="s">
        <v>1237</v>
      </c>
    </row>
    <row r="369" spans="1:7">
      <c r="A369" s="29" t="s">
        <v>1242</v>
      </c>
      <c r="B369" s="29" t="s">
        <v>1243</v>
      </c>
      <c r="C369" s="29" t="s">
        <v>1244</v>
      </c>
      <c r="D369" s="29" t="s">
        <v>1245</v>
      </c>
      <c r="E369" s="29" t="s">
        <v>1246</v>
      </c>
      <c r="F369" s="29" t="s">
        <v>473</v>
      </c>
      <c r="G369" s="29" t="s">
        <v>1247</v>
      </c>
    </row>
    <row r="370" spans="1:7">
      <c r="A370" s="29" t="s">
        <v>1248</v>
      </c>
      <c r="B370" s="29" t="s">
        <v>1249</v>
      </c>
      <c r="C370" s="29" t="s">
        <v>1250</v>
      </c>
      <c r="D370" s="29" t="s">
        <v>1251</v>
      </c>
      <c r="E370" s="29" t="s">
        <v>1252</v>
      </c>
      <c r="F370" s="29" t="s">
        <v>473</v>
      </c>
      <c r="G370" s="29" t="s">
        <v>1247</v>
      </c>
    </row>
    <row r="371" spans="1:7">
      <c r="A371" s="29" t="s">
        <v>1253</v>
      </c>
      <c r="B371" s="29" t="s">
        <v>1254</v>
      </c>
      <c r="C371" s="29" t="s">
        <v>1255</v>
      </c>
      <c r="D371" s="29" t="s">
        <v>1256</v>
      </c>
      <c r="E371" s="29" t="s">
        <v>1257</v>
      </c>
      <c r="F371" s="29" t="s">
        <v>473</v>
      </c>
      <c r="G371" s="29" t="s">
        <v>1247</v>
      </c>
    </row>
    <row r="372" spans="1:7">
      <c r="A372" s="29" t="s">
        <v>1258</v>
      </c>
      <c r="B372" s="29" t="s">
        <v>1259</v>
      </c>
      <c r="C372" s="29" t="s">
        <v>1260</v>
      </c>
      <c r="D372" s="29" t="s">
        <v>1261</v>
      </c>
      <c r="E372" s="29" t="s">
        <v>1262</v>
      </c>
      <c r="F372" s="29" t="s">
        <v>473</v>
      </c>
      <c r="G372" s="29" t="s">
        <v>1247</v>
      </c>
    </row>
    <row r="373" spans="1:7">
      <c r="A373" s="29" t="s">
        <v>1263</v>
      </c>
      <c r="B373" s="29" t="s">
        <v>1264</v>
      </c>
      <c r="C373" s="29" t="s">
        <v>1265</v>
      </c>
      <c r="D373" s="29" t="s">
        <v>1266</v>
      </c>
      <c r="E373" s="29" t="s">
        <v>1267</v>
      </c>
      <c r="F373" s="29" t="s">
        <v>473</v>
      </c>
      <c r="G373" s="29" t="s">
        <v>1247</v>
      </c>
    </row>
    <row r="374" spans="1:7">
      <c r="A374" s="29" t="s">
        <v>1268</v>
      </c>
      <c r="B374" s="29" t="s">
        <v>1269</v>
      </c>
      <c r="C374" s="29" t="s">
        <v>1270</v>
      </c>
      <c r="D374" s="29" t="s">
        <v>1271</v>
      </c>
      <c r="E374" s="29" t="s">
        <v>1272</v>
      </c>
      <c r="F374" s="29" t="s">
        <v>473</v>
      </c>
      <c r="G374" s="29" t="s">
        <v>1247</v>
      </c>
    </row>
    <row r="375" spans="1:7">
      <c r="A375" s="29" t="s">
        <v>1273</v>
      </c>
      <c r="B375" s="29" t="s">
        <v>1274</v>
      </c>
      <c r="C375" s="29" t="s">
        <v>1275</v>
      </c>
      <c r="D375" s="29" t="s">
        <v>1276</v>
      </c>
      <c r="E375" s="29" t="s">
        <v>1277</v>
      </c>
      <c r="F375" s="29" t="s">
        <v>473</v>
      </c>
      <c r="G375" s="29" t="s">
        <v>1278</v>
      </c>
    </row>
    <row r="376" spans="1:7">
      <c r="A376" s="29" t="s">
        <v>1279</v>
      </c>
      <c r="B376" s="29" t="s">
        <v>1280</v>
      </c>
      <c r="C376" s="29" t="s">
        <v>1280</v>
      </c>
      <c r="D376" s="29" t="s">
        <v>1281</v>
      </c>
      <c r="E376" s="29" t="s">
        <v>1282</v>
      </c>
      <c r="F376" s="29" t="s">
        <v>473</v>
      </c>
      <c r="G376" s="29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9" t="s">
        <v>1283</v>
      </c>
      <c r="B1" s="29" t="s">
        <v>1284</v>
      </c>
      <c r="C1" s="27" t="s">
        <v>1364</v>
      </c>
      <c r="D1" s="27" t="s">
        <v>1365</v>
      </c>
      <c r="E1" s="27" t="s">
        <v>1366</v>
      </c>
      <c r="F1" s="27" t="s">
        <v>1367</v>
      </c>
      <c r="G1" s="27" t="s">
        <v>1368</v>
      </c>
      <c r="H1" s="27" t="s">
        <v>1369</v>
      </c>
    </row>
    <row r="2" spans="1:8">
      <c r="A2" s="29" t="s">
        <v>1135</v>
      </c>
      <c r="B2" s="29" t="s">
        <v>1285</v>
      </c>
      <c r="C2" s="27" t="str">
        <f>VLOOKUP(A2,dict.term!A:G,2,FALSE)&amp;""</f>
        <v>化学式、組成式、分子式など</v>
      </c>
      <c r="D2" s="27" t="str">
        <f>VLOOKUP(A2,dict.term!A:G,3,FALSE)&amp;""</f>
        <v>Chemical formula, composition formula, molecular formula, etc.</v>
      </c>
      <c r="E2" s="27" t="str">
        <f>VLOOKUP(A2,dict.term!A:G,4,FALSE)&amp;""</f>
        <v>化学式、組成式、分子式などを入力してください</v>
      </c>
      <c r="F2" s="27" t="str">
        <f>VLOOKUP(A2,dict.term!A:G,5,FALSE)&amp;""</f>
        <v>Please enter Chemical formula, composition formula, molecular formula, etc.</v>
      </c>
      <c r="G2" s="27" t="str">
        <f>VLOOKUP(A2,dict.term!A:G,6,FALSE)&amp;""</f>
        <v>NULL</v>
      </c>
      <c r="H2" s="27" t="str">
        <f>VLOOKUP(A2,dict.term!A:G,7,FALSE)&amp;""</f>
        <v>2022-07-11 04:36:42.734137+00</v>
      </c>
    </row>
    <row r="3" spans="1:8">
      <c r="A3" s="29" t="s">
        <v>1140</v>
      </c>
      <c r="B3" s="29" t="s">
        <v>1286</v>
      </c>
      <c r="C3" s="27" t="str">
        <f>VLOOKUP(A3,dict.term!A:G,2,FALSE)&amp;""</f>
        <v>物質名</v>
      </c>
      <c r="D3" s="27" t="str">
        <f>VLOOKUP(A3,dict.term!A:G,3,FALSE)&amp;""</f>
        <v>Material name</v>
      </c>
      <c r="E3" s="27" t="str">
        <f>VLOOKUP(A3,dict.term!A:G,4,FALSE)&amp;""</f>
        <v>物質名を入力してください</v>
      </c>
      <c r="F3" s="27" t="str">
        <f>VLOOKUP(A3,dict.term!A:G,5,FALSE)&amp;""</f>
        <v>Please enter Material name</v>
      </c>
      <c r="G3" s="27" t="str">
        <f>VLOOKUP(A3,dict.term!A:G,6,FALSE)&amp;""</f>
        <v>NULL</v>
      </c>
      <c r="H3" s="27" t="str">
        <f>VLOOKUP(A3,dict.term!A:G,7,FALSE)&amp;""</f>
        <v>2022-07-11 04:36:42.734137+00</v>
      </c>
    </row>
    <row r="4" spans="1:8">
      <c r="A4" s="29" t="s">
        <v>1145</v>
      </c>
      <c r="B4" s="29" t="s">
        <v>1287</v>
      </c>
      <c r="C4" s="27" t="str">
        <f>VLOOKUP(A4,dict.term!A:G,2,FALSE)&amp;""</f>
        <v>試料別名</v>
      </c>
      <c r="D4" s="27" t="str">
        <f>VLOOKUP(A4,dict.term!A:G,3,FALSE)&amp;""</f>
        <v>Another sample name</v>
      </c>
      <c r="E4" s="27" t="str">
        <f>VLOOKUP(A4,dict.term!A:G,4,FALSE)&amp;""</f>
        <v>試料別名を入力してください</v>
      </c>
      <c r="F4" s="27" t="str">
        <f>VLOOKUP(A4,dict.term!A:G,5,FALSE)&amp;""</f>
        <v>Please enter Another sample name</v>
      </c>
      <c r="G4" s="27" t="str">
        <f>VLOOKUP(A4,dict.term!A:G,6,FALSE)&amp;""</f>
        <v>NULL</v>
      </c>
      <c r="H4" s="27" t="str">
        <f>VLOOKUP(A4,dict.term!A:G,7,FALSE)&amp;""</f>
        <v>2022-07-11 04:36:42.734137+00</v>
      </c>
    </row>
    <row r="5" spans="1:8">
      <c r="A5" s="29" t="s">
        <v>1159</v>
      </c>
      <c r="B5" s="29" t="s">
        <v>1288</v>
      </c>
      <c r="C5" s="27" t="str">
        <f>VLOOKUP(A5,dict.term!A:G,2,FALSE)&amp;""</f>
        <v>CAS番号</v>
      </c>
      <c r="D5" s="27" t="str">
        <f>VLOOKUP(A5,dict.term!A:G,3,FALSE)&amp;""</f>
        <v>CAS Number</v>
      </c>
      <c r="E5" s="27" t="str">
        <f>VLOOKUP(A5,dict.term!A:G,4,FALSE)&amp;""</f>
        <v>CAS番号を入力してください</v>
      </c>
      <c r="F5" s="27" t="str">
        <f>VLOOKUP(A5,dict.term!A:G,5,FALSE)&amp;""</f>
        <v>Please enter CAS Number</v>
      </c>
      <c r="G5" s="27" t="str">
        <f>VLOOKUP(A5,dict.term!A:G,6,FALSE)&amp;""</f>
        <v>NULL</v>
      </c>
      <c r="H5" s="27" t="str">
        <f>VLOOKUP(A5,dict.term!A:G,7,FALSE)&amp;""</f>
        <v>2022-07-11 04:36:42.734137+00</v>
      </c>
    </row>
    <row r="6" spans="1:8">
      <c r="A6" s="29" t="s">
        <v>1164</v>
      </c>
      <c r="B6" s="29" t="s">
        <v>1289</v>
      </c>
      <c r="C6" s="27" t="str">
        <f>VLOOKUP(A6,dict.term!A:G,2,FALSE)&amp;""</f>
        <v>試料購入日</v>
      </c>
      <c r="D6" s="27" t="str">
        <f>VLOOKUP(A6,dict.term!A:G,3,FALSE)&amp;""</f>
        <v>Purchase date</v>
      </c>
      <c r="E6" s="27" t="str">
        <f>VLOOKUP(A6,dict.term!A:G,4,FALSE)&amp;""</f>
        <v>試料購入日を入力してください</v>
      </c>
      <c r="F6" s="27" t="str">
        <f>VLOOKUP(A6,dict.term!A:G,5,FALSE)&amp;""</f>
        <v>Please enter Purchase date</v>
      </c>
      <c r="G6" s="27" t="str">
        <f>VLOOKUP(A6,dict.term!A:G,6,FALSE)&amp;""</f>
        <v>NULL</v>
      </c>
      <c r="H6" s="27" t="str">
        <f>VLOOKUP(A6,dict.term!A:G,7,FALSE)&amp;""</f>
        <v>2022-07-11 04:36:42.734137+00</v>
      </c>
    </row>
    <row r="7" spans="1:8">
      <c r="A7" s="29" t="s">
        <v>1169</v>
      </c>
      <c r="B7" s="29" t="s">
        <v>1290</v>
      </c>
      <c r="C7" s="27" t="str">
        <f>VLOOKUP(A7,dict.term!A:G,2,FALSE)&amp;""</f>
        <v>結晶状態</v>
      </c>
      <c r="D7" s="27" t="str">
        <f>VLOOKUP(A7,dict.term!A:G,3,FALSE)&amp;""</f>
        <v>Crystalline state</v>
      </c>
      <c r="E7" s="27" t="str">
        <f>VLOOKUP(A7,dict.term!A:G,4,FALSE)&amp;""</f>
        <v>結晶状態を入力してください</v>
      </c>
      <c r="F7" s="27" t="str">
        <f>VLOOKUP(A7,dict.term!A:G,5,FALSE)&amp;""</f>
        <v>Please enter Crystalline state</v>
      </c>
      <c r="G7" s="27" t="str">
        <f>VLOOKUP(A7,dict.term!A:G,6,FALSE)&amp;""</f>
        <v>NULL</v>
      </c>
      <c r="H7" s="27" t="str">
        <f>VLOOKUP(A7,dict.term!A:G,7,FALSE)&amp;""</f>
        <v>2022-07-11 04:36:42.734137+00</v>
      </c>
    </row>
    <row r="8" spans="1:8">
      <c r="A8" s="29" t="s">
        <v>1174</v>
      </c>
      <c r="B8" s="29" t="s">
        <v>1291</v>
      </c>
      <c r="C8" s="27" t="str">
        <f>VLOOKUP(A8,dict.term!A:G,2,FALSE)&amp;""</f>
        <v>結晶構造</v>
      </c>
      <c r="D8" s="27" t="str">
        <f>VLOOKUP(A8,dict.term!A:G,3,FALSE)&amp;""</f>
        <v>Crystal structure</v>
      </c>
      <c r="E8" s="27" t="str">
        <f>VLOOKUP(A8,dict.term!A:G,4,FALSE)&amp;""</f>
        <v>結晶構造を入力してください</v>
      </c>
      <c r="F8" s="27" t="str">
        <f>VLOOKUP(A8,dict.term!A:G,5,FALSE)&amp;""</f>
        <v>Please enter Crystal structure</v>
      </c>
      <c r="G8" s="27" t="str">
        <f>VLOOKUP(A8,dict.term!A:G,6,FALSE)&amp;""</f>
        <v>NULL</v>
      </c>
      <c r="H8" s="27" t="str">
        <f>VLOOKUP(A8,dict.term!A:G,7,FALSE)&amp;""</f>
        <v>2022-07-11 04:36:42.734137+00</v>
      </c>
    </row>
    <row r="9" spans="1:8">
      <c r="A9" s="29" t="s">
        <v>1179</v>
      </c>
      <c r="B9" s="29" t="s">
        <v>1292</v>
      </c>
      <c r="C9" s="27" t="str">
        <f>VLOOKUP(A9,dict.term!A:G,2,FALSE)&amp;""</f>
        <v>ピアソン記号</v>
      </c>
      <c r="D9" s="27" t="str">
        <f>VLOOKUP(A9,dict.term!A:G,3,FALSE)&amp;""</f>
        <v>Pearson symbol</v>
      </c>
      <c r="E9" s="27" t="str">
        <f>VLOOKUP(A9,dict.term!A:G,4,FALSE)&amp;""</f>
        <v>ピアソン記号を入力してください</v>
      </c>
      <c r="F9" s="27" t="str">
        <f>VLOOKUP(A9,dict.term!A:G,5,FALSE)&amp;""</f>
        <v>Please enter Pearson symbol</v>
      </c>
      <c r="G9" s="27" t="str">
        <f>VLOOKUP(A9,dict.term!A:G,6,FALSE)&amp;""</f>
        <v>NULL</v>
      </c>
      <c r="H9" s="27" t="str">
        <f>VLOOKUP(A9,dict.term!A:G,7,FALSE)&amp;""</f>
        <v>2022-07-11 04:36:42.734137+00</v>
      </c>
    </row>
    <row r="10" spans="1:8">
      <c r="A10" s="29" t="s">
        <v>1184</v>
      </c>
      <c r="B10" s="29" t="s">
        <v>1293</v>
      </c>
      <c r="C10" s="27" t="str">
        <f>VLOOKUP(A10,dict.term!A:G,2,FALSE)&amp;""</f>
        <v>空間群</v>
      </c>
      <c r="D10" s="27" t="str">
        <f>VLOOKUP(A10,dict.term!A:G,3,FALSE)&amp;""</f>
        <v>Space group</v>
      </c>
      <c r="E10" s="27" t="str">
        <f>VLOOKUP(A10,dict.term!A:G,4,FALSE)&amp;""</f>
        <v>空間群を入力してください</v>
      </c>
      <c r="F10" s="27" t="str">
        <f>VLOOKUP(A10,dict.term!A:G,5,FALSE)&amp;""</f>
        <v>Please enter Space group</v>
      </c>
      <c r="G10" s="27" t="str">
        <f>VLOOKUP(A10,dict.term!A:G,6,FALSE)&amp;""</f>
        <v>https://matvoc.nims.go.jp/wiki/Item:Q224</v>
      </c>
      <c r="H10" s="27" t="str">
        <f>VLOOKUP(A10,dict.term!A:G,7,FALSE)&amp;""</f>
        <v>2022-07-11 04:36:42.734137+00</v>
      </c>
    </row>
    <row r="11" spans="1:8">
      <c r="A11" s="29" t="s">
        <v>1190</v>
      </c>
      <c r="B11" s="29" t="s">
        <v>1294</v>
      </c>
      <c r="C11" s="27" t="str">
        <f>VLOOKUP(A11,dict.term!A:G,2,FALSE)&amp;""</f>
        <v>試料形状</v>
      </c>
      <c r="D11" s="27" t="str">
        <f>VLOOKUP(A11,dict.term!A:G,3,FALSE)&amp;""</f>
        <v>Sample shape</v>
      </c>
      <c r="E11" s="27" t="str">
        <f>VLOOKUP(A11,dict.term!A:G,4,FALSE)&amp;""</f>
        <v>試料形状を入力してください</v>
      </c>
      <c r="F11" s="27" t="str">
        <f>VLOOKUP(A11,dict.term!A:G,5,FALSE)&amp;""</f>
        <v>Please enter Sample shape</v>
      </c>
      <c r="G11" s="27" t="str">
        <f>VLOOKUP(A11,dict.term!A:G,6,FALSE)&amp;""</f>
        <v>NULL</v>
      </c>
      <c r="H11" s="27" t="str">
        <f>VLOOKUP(A11,dict.term!A:G,7,FALSE)&amp;""</f>
        <v>2022-07-11 04:36:42.734137+00</v>
      </c>
    </row>
    <row r="12" spans="1:8">
      <c r="A12" s="29" t="s">
        <v>1233</v>
      </c>
      <c r="B12" s="29" t="s">
        <v>1295</v>
      </c>
      <c r="C12" s="27" t="str">
        <f>VLOOKUP(A12,dict.term!A:G,2,FALSE)&amp;""</f>
        <v>SMILES String</v>
      </c>
      <c r="D12" s="27" t="str">
        <f>VLOOKUP(A12,dict.term!A:G,3,FALSE)&amp;""</f>
        <v>SMILES String</v>
      </c>
      <c r="E12" s="27" t="str">
        <f>VLOOKUP(A12,dict.term!A:G,4,FALSE)&amp;""</f>
        <v>SMILES Stringを入力してください</v>
      </c>
      <c r="F12" s="27" t="str">
        <f>VLOOKUP(A12,dict.term!A:G,5,FALSE)&amp;""</f>
        <v>Please enter SMILES String</v>
      </c>
      <c r="G12" s="27" t="str">
        <f>VLOOKUP(A12,dict.term!A:G,6,FALSE)&amp;""</f>
        <v>NULL</v>
      </c>
      <c r="H12" s="27" t="str">
        <f>VLOOKUP(A12,dict.term!A:G,7,FALSE)&amp;""</f>
        <v>2022-08-01 09:32:47.462801+00</v>
      </c>
    </row>
    <row r="13" spans="1:8">
      <c r="A13" s="29" t="s">
        <v>1279</v>
      </c>
      <c r="B13" s="29" t="s">
        <v>1296</v>
      </c>
      <c r="C13" s="27" t="str">
        <f>VLOOKUP(A13,dict.term!A:G,2,FALSE)&amp;""</f>
        <v>InChI</v>
      </c>
      <c r="D13" s="27" t="str">
        <f>VLOOKUP(A13,dict.term!A:G,3,FALSE)&amp;""</f>
        <v>InChI</v>
      </c>
      <c r="E13" s="27" t="str">
        <f>VLOOKUP(A13,dict.term!A:G,4,FALSE)&amp;""</f>
        <v>InChIを入力してください</v>
      </c>
      <c r="F13" s="27" t="str">
        <f>VLOOKUP(A13,dict.term!A:G,5,FALSE)&amp;""</f>
        <v>Please enter InChI</v>
      </c>
      <c r="G13" s="27" t="str">
        <f>VLOOKUP(A13,dict.term!A:G,6,FALSE)&amp;""</f>
        <v>NULL</v>
      </c>
      <c r="H13" s="27" t="str">
        <f>VLOOKUP(A13,dict.term!A:G,7,FALSE)&amp;""</f>
        <v>2022-08-01 09:32:47.462801+00</v>
      </c>
    </row>
    <row r="14" spans="1:8">
      <c r="A14" s="29" t="s">
        <v>1238</v>
      </c>
      <c r="B14" s="29" t="s">
        <v>1297</v>
      </c>
      <c r="C14" s="27" t="str">
        <f>VLOOKUP(A14,dict.term!A:G,2,FALSE)&amp;""</f>
        <v>InChI key</v>
      </c>
      <c r="D14" s="27" t="str">
        <f>VLOOKUP(A14,dict.term!A:G,3,FALSE)&amp;""</f>
        <v>InChI key</v>
      </c>
      <c r="E14" s="27" t="str">
        <f>VLOOKUP(A14,dict.term!A:G,4,FALSE)&amp;""</f>
        <v>InChI keyを入力してください</v>
      </c>
      <c r="F14" s="27" t="str">
        <f>VLOOKUP(A14,dict.term!A:G,5,FALSE)&amp;""</f>
        <v>Please enter InChI key</v>
      </c>
      <c r="G14" s="27" t="str">
        <f>VLOOKUP(A14,dict.term!A:G,6,FALSE)&amp;""</f>
        <v>NULL</v>
      </c>
      <c r="H14" s="27" t="str">
        <f>VLOOKUP(A14,dict.term!A:G,7,FALSE)&amp;""</f>
        <v>2022-08-01 09:32:47.462801+00</v>
      </c>
    </row>
    <row r="15" spans="1:8">
      <c r="A15" s="29" t="s">
        <v>1226</v>
      </c>
      <c r="B15" s="29" t="s">
        <v>1298</v>
      </c>
      <c r="C15" s="27" t="str">
        <f>VLOOKUP(A15,dict.term!A:G,2,FALSE)&amp;""</f>
        <v>分子量</v>
      </c>
      <c r="D15" s="27" t="str">
        <f>VLOOKUP(A15,dict.term!A:G,3,FALSE)&amp;""</f>
        <v>molecular weight</v>
      </c>
      <c r="E15" s="27" t="str">
        <f>VLOOKUP(A15,dict.term!A:G,4,FALSE)&amp;""</f>
        <v>分子量を入力してください</v>
      </c>
      <c r="F15" s="27" t="str">
        <f>VLOOKUP(A15,dict.term!A:G,5,FALSE)&amp;""</f>
        <v>Please enter molecular weight</v>
      </c>
      <c r="G15" s="27" t="str">
        <f>VLOOKUP(A15,dict.term!A:G,6,FALSE)&amp;""</f>
        <v>https://matvoc.nims.go.jp/entity/Q551</v>
      </c>
      <c r="H15" s="27" t="str">
        <f>VLOOKUP(A15,dict.term!A:G,7,FALSE)&amp;""</f>
        <v>2022-08-01 09:29:30.179916+00</v>
      </c>
    </row>
    <row r="16" spans="1:8">
      <c r="A16" s="29" t="s">
        <v>1242</v>
      </c>
      <c r="B16" s="29" t="s">
        <v>1299</v>
      </c>
      <c r="C16" s="27" t="str">
        <f>VLOOKUP(A16,dict.term!A:G,2,FALSE)&amp;""</f>
        <v>試料分類</v>
      </c>
      <c r="D16" s="27" t="str">
        <f>VLOOKUP(A16,dict.term!A:G,3,FALSE)&amp;""</f>
        <v>Sample type</v>
      </c>
      <c r="E16" s="27" t="str">
        <f>VLOOKUP(A16,dict.term!A:G,4,FALSE)&amp;""</f>
        <v>試料分類を入力してください</v>
      </c>
      <c r="F16" s="27" t="str">
        <f>VLOOKUP(A16,dict.term!A:G,5,FALSE)&amp;""</f>
        <v>Please enter Sample type</v>
      </c>
      <c r="G16" s="27" t="str">
        <f>VLOOKUP(A16,dict.term!A:G,6,FALSE)&amp;""</f>
        <v>NULL</v>
      </c>
      <c r="H16" s="27" t="str">
        <f>VLOOKUP(A16,dict.term!A:G,7,FALSE)&amp;""</f>
        <v>2022-08-09 02:57:35.896387+00</v>
      </c>
    </row>
    <row r="17" spans="1:8">
      <c r="A17" s="29" t="s">
        <v>1248</v>
      </c>
      <c r="B17" s="29" t="s">
        <v>1300</v>
      </c>
      <c r="C17" s="27" t="str">
        <f>VLOOKUP(A17,dict.term!A:G,2,FALSE)&amp;""</f>
        <v>生物種</v>
      </c>
      <c r="D17" s="27" t="str">
        <f>VLOOKUP(A17,dict.term!A:G,3,FALSE)&amp;""</f>
        <v>Taxonomy</v>
      </c>
      <c r="E17" s="27" t="str">
        <f>VLOOKUP(A17,dict.term!A:G,4,FALSE)&amp;""</f>
        <v>生物種を入力してください</v>
      </c>
      <c r="F17" s="27" t="str">
        <f>VLOOKUP(A17,dict.term!A:G,5,FALSE)&amp;""</f>
        <v>Please enter Taxonomy</v>
      </c>
      <c r="G17" s="27" t="str">
        <f>VLOOKUP(A17,dict.term!A:G,6,FALSE)&amp;""</f>
        <v>NULL</v>
      </c>
      <c r="H17" s="27" t="str">
        <f>VLOOKUP(A17,dict.term!A:G,7,FALSE)&amp;""</f>
        <v>2022-08-09 02:57:35.896387+00</v>
      </c>
    </row>
    <row r="18" spans="1:8">
      <c r="A18" s="29" t="s">
        <v>1253</v>
      </c>
      <c r="B18" s="29" t="s">
        <v>1301</v>
      </c>
      <c r="C18" s="27" t="str">
        <f>VLOOKUP(A18,dict.term!A:G,2,FALSE)&amp;""</f>
        <v>細胞株</v>
      </c>
      <c r="D18" s="27" t="str">
        <f>VLOOKUP(A18,dict.term!A:G,3,FALSE)&amp;""</f>
        <v>Cell line</v>
      </c>
      <c r="E18" s="27" t="str">
        <f>VLOOKUP(A18,dict.term!A:G,4,FALSE)&amp;""</f>
        <v>細胞株を入力してください</v>
      </c>
      <c r="F18" s="27" t="str">
        <f>VLOOKUP(A18,dict.term!A:G,5,FALSE)&amp;""</f>
        <v>Please enter Cell line</v>
      </c>
      <c r="G18" s="27" t="str">
        <f>VLOOKUP(A18,dict.term!A:G,6,FALSE)&amp;""</f>
        <v>NULL</v>
      </c>
      <c r="H18" s="27" t="str">
        <f>VLOOKUP(A18,dict.term!A:G,7,FALSE)&amp;""</f>
        <v>2022-08-09 02:57:35.896387+00</v>
      </c>
    </row>
    <row r="19" spans="1:8">
      <c r="A19" s="29" t="s">
        <v>1258</v>
      </c>
      <c r="B19" s="29" t="s">
        <v>1302</v>
      </c>
      <c r="C19" s="27" t="str">
        <f>VLOOKUP(A19,dict.term!A:G,2,FALSE)&amp;""</f>
        <v>タンパク名</v>
      </c>
      <c r="D19" s="27" t="str">
        <f>VLOOKUP(A19,dict.term!A:G,3,FALSE)&amp;""</f>
        <v>Protein name</v>
      </c>
      <c r="E19" s="27" t="str">
        <f>VLOOKUP(A19,dict.term!A:G,4,FALSE)&amp;""</f>
        <v>タンパク名を入力してください</v>
      </c>
      <c r="F19" s="27" t="str">
        <f>VLOOKUP(A19,dict.term!A:G,5,FALSE)&amp;""</f>
        <v>Please enter Protein name</v>
      </c>
      <c r="G19" s="27" t="str">
        <f>VLOOKUP(A19,dict.term!A:G,6,FALSE)&amp;""</f>
        <v>NULL</v>
      </c>
      <c r="H19" s="27" t="str">
        <f>VLOOKUP(A19,dict.term!A:G,7,FALSE)&amp;""</f>
        <v>2022-08-09 02:57:35.896387+00</v>
      </c>
    </row>
    <row r="20" spans="1:8">
      <c r="A20" s="29" t="s">
        <v>1263</v>
      </c>
      <c r="B20" s="29" t="s">
        <v>1303</v>
      </c>
      <c r="C20" s="27" t="str">
        <f>VLOOKUP(A20,dict.term!A:G,2,FALSE)&amp;""</f>
        <v>遺伝子名</v>
      </c>
      <c r="D20" s="27" t="str">
        <f>VLOOKUP(A20,dict.term!A:G,3,FALSE)&amp;""</f>
        <v>Gene name</v>
      </c>
      <c r="E20" s="27" t="str">
        <f>VLOOKUP(A20,dict.term!A:G,4,FALSE)&amp;""</f>
        <v>遺伝子名を入力してください</v>
      </c>
      <c r="F20" s="27" t="str">
        <f>VLOOKUP(A20,dict.term!A:G,5,FALSE)&amp;""</f>
        <v>Please enter Gene name</v>
      </c>
      <c r="G20" s="27" t="str">
        <f>VLOOKUP(A20,dict.term!A:G,6,FALSE)&amp;""</f>
        <v>NULL</v>
      </c>
      <c r="H20" s="27" t="str">
        <f>VLOOKUP(A20,dict.term!A:G,7,FALSE)&amp;""</f>
        <v>2022-08-09 02:57:35.896387+00</v>
      </c>
    </row>
    <row r="21" spans="1:8">
      <c r="A21" s="29" t="s">
        <v>1268</v>
      </c>
      <c r="B21" s="29" t="s">
        <v>1304</v>
      </c>
      <c r="C21" s="27" t="str">
        <f>VLOOKUP(A21,dict.term!A:G,2,FALSE)&amp;""</f>
        <v>NCBIアクセッション番号</v>
      </c>
      <c r="D21" s="27" t="str">
        <f>VLOOKUP(A21,dict.term!A:G,3,FALSE)&amp;""</f>
        <v>NCBI accession number</v>
      </c>
      <c r="E21" s="27" t="str">
        <f>VLOOKUP(A21,dict.term!A:G,4,FALSE)&amp;""</f>
        <v>NCBIアクセッション番号を入力してください</v>
      </c>
      <c r="F21" s="27" t="str">
        <f>VLOOKUP(A21,dict.term!A:G,5,FALSE)&amp;""</f>
        <v>Please enter NCBI accession number</v>
      </c>
      <c r="G21" s="27" t="str">
        <f>VLOOKUP(A21,dict.term!A:G,6,FALSE)&amp;""</f>
        <v>NULL</v>
      </c>
      <c r="H21" s="27" t="str">
        <f>VLOOKUP(A21,dict.term!A:G,7,FALSE)&amp;""</f>
        <v>2022-08-09 02:57:35.896387+00</v>
      </c>
    </row>
    <row r="22" spans="1:8">
      <c r="A22" s="29" t="s">
        <v>1273</v>
      </c>
      <c r="B22" s="29" t="s">
        <v>1305</v>
      </c>
      <c r="C22" s="27" t="str">
        <f>VLOOKUP(A22,dict.term!A:G,2,FALSE)&amp;""</f>
        <v>一般名称</v>
      </c>
      <c r="D22" s="27" t="str">
        <f>VLOOKUP(A22,dict.term!A:G,3,FALSE)&amp;""</f>
        <v>General name</v>
      </c>
      <c r="E22" s="27" t="str">
        <f>VLOOKUP(A22,dict.term!A:G,4,FALSE)&amp;""</f>
        <v>一般名称を入力してください</v>
      </c>
      <c r="F22" s="27" t="str">
        <f>VLOOKUP(A22,dict.term!A:G,5,FALSE)&amp;""</f>
        <v>Please enter General name</v>
      </c>
      <c r="G22" s="27" t="str">
        <f>VLOOKUP(A22,dict.term!A:G,6,FALSE)&amp;""</f>
        <v>NULL</v>
      </c>
      <c r="H22" s="27" t="str">
        <f>VLOOKUP(A22,dict.term!A:G,7,FALSE)&amp;""</f>
        <v>2022-08-24 01:04:54.879136+00</v>
      </c>
    </row>
    <row r="23" spans="1:8">
      <c r="A23" s="29" t="s">
        <v>1370</v>
      </c>
      <c r="B23" s="29" t="s">
        <v>1306</v>
      </c>
      <c r="C23" s="27" t="str">
        <f>VLOOKUP(A23,dict.term!A:G,2,FALSE)&amp;""</f>
        <v>化学組成</v>
      </c>
      <c r="D23" s="27" t="str">
        <f>VLOOKUP(A23,dict.term!A:G,3,FALSE)&amp;""</f>
        <v>Chemical composition</v>
      </c>
      <c r="E23" s="27" t="str">
        <f>VLOOKUP(A23,dict.term!A:G,4,FALSE)&amp;""</f>
        <v/>
      </c>
      <c r="F23" s="27" t="str">
        <f>VLOOKUP(A23,dict.term!A:G,5,FALSE)&amp;""</f>
        <v/>
      </c>
      <c r="G23" s="27" t="str">
        <f>VLOOKUP(A23,dict.term!A:G,6,FALSE)&amp;""</f>
        <v>NULL</v>
      </c>
      <c r="H23" s="27" t="str">
        <f>VLOOKUP(A23,dict.term!A:G,7,FALSE)&amp;""</f>
        <v>2022-10-11 06:12:34.454294+00</v>
      </c>
    </row>
    <row r="24" spans="1:8">
      <c r="A24" s="29" t="s">
        <v>833</v>
      </c>
      <c r="B24" s="29" t="s">
        <v>1307</v>
      </c>
      <c r="C24" s="27" t="str">
        <f>VLOOKUP(A24,dict.term!A:G,2,FALSE)&amp;""</f>
        <v>購入元</v>
      </c>
      <c r="D24" s="27" t="str">
        <f>VLOOKUP(A24,dict.term!A:G,3,FALSE)&amp;""</f>
        <v>Supplier</v>
      </c>
      <c r="E24" s="27" t="str">
        <f>VLOOKUP(A24,dict.term!A:G,4,FALSE)&amp;""</f>
        <v/>
      </c>
      <c r="F24" s="27" t="str">
        <f>VLOOKUP(A24,dict.term!A:G,5,FALSE)&amp;""</f>
        <v/>
      </c>
      <c r="G24" s="27" t="str">
        <f>VLOOKUP(A24,dict.term!A:G,6,FALSE)&amp;""</f>
        <v>NULL</v>
      </c>
      <c r="H24" s="27" t="str">
        <f>VLOOKUP(A24,dict.term!A:G,7,FALSE)&amp;""</f>
        <v>2022-10-11 06:12:52.876335+00</v>
      </c>
    </row>
    <row r="25" spans="1:8">
      <c r="A25" s="29" t="s">
        <v>1155</v>
      </c>
      <c r="B25" s="29" t="s">
        <v>1308</v>
      </c>
      <c r="C25" s="27" t="str">
        <f>VLOOKUP(A25,dict.term!A:G,2,FALSE)&amp;""</f>
        <v>ロット番号、製造番号など</v>
      </c>
      <c r="D25" s="27" t="str">
        <f>VLOOKUP(A25,dict.term!A:G,3,FALSE)&amp;""</f>
        <v>Lot number or product number etc</v>
      </c>
      <c r="E25" s="27" t="str">
        <f>VLOOKUP(A25,dict.term!A:G,4,FALSE)&amp;""</f>
        <v/>
      </c>
      <c r="F25" s="27" t="str">
        <f>VLOOKUP(A25,dict.term!A:G,5,FALSE)&amp;""</f>
        <v/>
      </c>
      <c r="G25" s="27" t="str">
        <f>VLOOKUP(A25,dict.term!A:G,6,FALSE)&amp;""</f>
        <v>NULL</v>
      </c>
      <c r="H25" s="27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9" t="s">
        <v>1372</v>
      </c>
      <c r="B1" s="29" t="s">
        <v>1373</v>
      </c>
      <c r="C1" s="29" t="s">
        <v>1375</v>
      </c>
    </row>
    <row r="2" spans="1:3">
      <c r="A2" s="29" t="s">
        <v>1309</v>
      </c>
      <c r="B2" s="29" t="s">
        <v>1310</v>
      </c>
      <c r="C2" s="29" t="s">
        <v>1311</v>
      </c>
    </row>
    <row r="3" spans="1:3">
      <c r="A3" s="29" t="s">
        <v>1312</v>
      </c>
      <c r="B3" s="29" t="s">
        <v>1313</v>
      </c>
      <c r="C3" s="29" t="s">
        <v>1314</v>
      </c>
    </row>
    <row r="4" spans="1:3">
      <c r="A4" s="29" t="s">
        <v>1315</v>
      </c>
      <c r="B4" s="29" t="s">
        <v>1316</v>
      </c>
      <c r="C4" s="29" t="s">
        <v>1317</v>
      </c>
    </row>
    <row r="5" spans="1:3">
      <c r="A5" s="29" t="s">
        <v>1318</v>
      </c>
      <c r="B5" s="29" t="s">
        <v>1319</v>
      </c>
      <c r="C5" s="29" t="s">
        <v>1320</v>
      </c>
    </row>
    <row r="6" spans="1:3">
      <c r="A6" s="29" t="s">
        <v>1321</v>
      </c>
      <c r="B6" s="29" t="s">
        <v>1322</v>
      </c>
      <c r="C6" s="29" t="s">
        <v>7</v>
      </c>
    </row>
    <row r="7" spans="1:3">
      <c r="A7" s="29" t="s">
        <v>1323</v>
      </c>
      <c r="B7" s="29" t="s">
        <v>1324</v>
      </c>
      <c r="C7" s="29" t="s">
        <v>1325</v>
      </c>
    </row>
    <row r="8" spans="1:3">
      <c r="A8" s="29" t="s">
        <v>1326</v>
      </c>
      <c r="B8" s="29" t="s">
        <v>1327</v>
      </c>
      <c r="C8" s="29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9" t="s">
        <v>1382</v>
      </c>
      <c r="B1" s="29" t="s">
        <v>1283</v>
      </c>
      <c r="C1" s="29" t="s">
        <v>1284</v>
      </c>
      <c r="D1" s="27" t="s">
        <v>1374</v>
      </c>
      <c r="E1" s="27" t="s">
        <v>1376</v>
      </c>
      <c r="F1" s="27" t="s">
        <v>1364</v>
      </c>
      <c r="G1" s="27" t="s">
        <v>1365</v>
      </c>
      <c r="H1" s="27" t="s">
        <v>1366</v>
      </c>
      <c r="I1" s="27" t="s">
        <v>1367</v>
      </c>
      <c r="J1" s="27" t="s">
        <v>1368</v>
      </c>
      <c r="K1" s="27" t="s">
        <v>1369</v>
      </c>
      <c r="L1" s="27" t="s">
        <v>1377</v>
      </c>
      <c r="M1" s="27" t="s">
        <v>1378</v>
      </c>
    </row>
    <row r="2" spans="1:13">
      <c r="A2" s="29" t="s">
        <v>1371</v>
      </c>
      <c r="B2" s="29" t="s">
        <v>1195</v>
      </c>
      <c r="C2" s="29" t="s">
        <v>1329</v>
      </c>
      <c r="D2" s="27" t="str">
        <f>VLOOKUP(A2,sample.sample_class!A:C,2,FALSE)&amp;""</f>
        <v>有機材料</v>
      </c>
      <c r="E2" s="27" t="str">
        <f>VLOOKUP(A2,sample.sample_class!A:C,3,FALSE)&amp;""</f>
        <v>organic material</v>
      </c>
      <c r="F2" s="27" t="str">
        <f>VLOOKUP(B2,dict.term!A:G,2,FALSE)&amp;""</f>
        <v>化学式</v>
      </c>
      <c r="G2" s="27" t="str">
        <f>VLOOKUP(B2,dict.term!A:G,3,FALSE)&amp;""</f>
        <v>Chemical formula</v>
      </c>
      <c r="H2" s="27" t="str">
        <f>VLOOKUP(B2,dict.term!A:G,4,FALSE)&amp;""</f>
        <v>化学式を入力してください</v>
      </c>
      <c r="I2" s="27" t="str">
        <f>VLOOKUP(B2,dict.term!A:G,5,FALSE)&amp;""</f>
        <v>Please enter Chemical formula</v>
      </c>
      <c r="J2" s="27" t="str">
        <f>VLOOKUP(B2,dict.term!A:G,6,FALSE)&amp;""</f>
        <v>NULL</v>
      </c>
      <c r="K2" s="27" t="str">
        <f>VLOOKUP(B2,dict.term!A:G,7,FALSE)&amp;""</f>
        <v>2022-07-11 04:36:42.734137+00</v>
      </c>
      <c r="L2" s="27" t="str">
        <f>D2&amp;"/"&amp;F2</f>
        <v>有機材料/化学式</v>
      </c>
      <c r="M2" s="27" t="str">
        <f>E2&amp;"/"&amp;G2</f>
        <v>organic material/Chemical formula</v>
      </c>
    </row>
    <row r="3" spans="1:13">
      <c r="A3" s="29" t="s">
        <v>1309</v>
      </c>
      <c r="B3" s="29" t="s">
        <v>1200</v>
      </c>
      <c r="C3" s="29" t="s">
        <v>1330</v>
      </c>
      <c r="D3" s="27" t="str">
        <f>VLOOKUP(A3,sample.sample_class!A:C,2,FALSE)&amp;""</f>
        <v>有機材料</v>
      </c>
      <c r="E3" s="27" t="str">
        <f>VLOOKUP(A3,sample.sample_class!A:C,3,FALSE)&amp;""</f>
        <v>organic material</v>
      </c>
      <c r="F3" s="27" t="str">
        <f>VLOOKUP(B3,dict.term!A:G,2,FALSE)&amp;""</f>
        <v>名称</v>
      </c>
      <c r="G3" s="27" t="str">
        <f>VLOOKUP(B3,dict.term!A:G,3,FALSE)&amp;""</f>
        <v>Name</v>
      </c>
      <c r="H3" s="27" t="str">
        <f>VLOOKUP(B3,dict.term!A:G,4,FALSE)&amp;""</f>
        <v>名称を入力してください</v>
      </c>
      <c r="I3" s="27" t="str">
        <f>VLOOKUP(B3,dict.term!A:G,5,FALSE)&amp;""</f>
        <v>Please enter Name</v>
      </c>
      <c r="J3" s="27" t="str">
        <f>VLOOKUP(B3,dict.term!A:G,6,FALSE)&amp;""</f>
        <v>NULL</v>
      </c>
      <c r="K3" s="27" t="str">
        <f>VLOOKUP(B3,dict.term!A:G,7,FALSE)&amp;""</f>
        <v>2022-07-11 04:36:42.734137+00</v>
      </c>
      <c r="L3" s="27" t="str">
        <f t="shared" ref="L3:L36" si="0">D3&amp;"/"&amp;F3</f>
        <v>有機材料/名称</v>
      </c>
      <c r="M3" s="27" t="str">
        <f t="shared" ref="M3:M36" si="1">E3&amp;"/"&amp;G3</f>
        <v>organic material/Name</v>
      </c>
    </row>
    <row r="4" spans="1:13">
      <c r="A4" s="29" t="s">
        <v>1309</v>
      </c>
      <c r="B4" s="29" t="s">
        <v>1159</v>
      </c>
      <c r="C4" s="29" t="s">
        <v>1331</v>
      </c>
      <c r="D4" s="27" t="str">
        <f>VLOOKUP(A4,sample.sample_class!A:C,2,FALSE)&amp;""</f>
        <v>有機材料</v>
      </c>
      <c r="E4" s="27" t="str">
        <f>VLOOKUP(A4,sample.sample_class!A:C,3,FALSE)&amp;""</f>
        <v>organic material</v>
      </c>
      <c r="F4" s="27" t="str">
        <f>VLOOKUP(B4,dict.term!A:G,2,FALSE)&amp;""</f>
        <v>CAS番号</v>
      </c>
      <c r="G4" s="27" t="str">
        <f>VLOOKUP(B4,dict.term!A:G,3,FALSE)&amp;""</f>
        <v>CAS Number</v>
      </c>
      <c r="H4" s="27" t="str">
        <f>VLOOKUP(B4,dict.term!A:G,4,FALSE)&amp;""</f>
        <v>CAS番号を入力してください</v>
      </c>
      <c r="I4" s="27" t="str">
        <f>VLOOKUP(B4,dict.term!A:G,5,FALSE)&amp;""</f>
        <v>Please enter CAS Number</v>
      </c>
      <c r="J4" s="27" t="str">
        <f>VLOOKUP(B4,dict.term!A:G,6,FALSE)&amp;""</f>
        <v>NULL</v>
      </c>
      <c r="K4" s="27" t="str">
        <f>VLOOKUP(B4,dict.term!A:G,7,FALSE)&amp;""</f>
        <v>2022-07-11 04:36:42.734137+00</v>
      </c>
      <c r="L4" s="27" t="str">
        <f t="shared" si="0"/>
        <v>有機材料/CAS番号</v>
      </c>
      <c r="M4" s="27" t="str">
        <f t="shared" si="1"/>
        <v>organic material/CAS Number</v>
      </c>
    </row>
    <row r="5" spans="1:13">
      <c r="A5" s="29" t="s">
        <v>1309</v>
      </c>
      <c r="B5" s="29" t="s">
        <v>1205</v>
      </c>
      <c r="C5" s="29" t="s">
        <v>1332</v>
      </c>
      <c r="D5" s="27" t="str">
        <f>VLOOKUP(A5,sample.sample_class!A:C,2,FALSE)&amp;""</f>
        <v>有機材料</v>
      </c>
      <c r="E5" s="27" t="str">
        <f>VLOOKUP(A5,sample.sample_class!A:C,3,FALSE)&amp;""</f>
        <v>organic material</v>
      </c>
      <c r="F5" s="27" t="str">
        <f>VLOOKUP(B5,dict.term!A:G,2,FALSE)&amp;""</f>
        <v>PubChem</v>
      </c>
      <c r="G5" s="27" t="str">
        <f>VLOOKUP(B5,dict.term!A:G,3,FALSE)&amp;""</f>
        <v>PubChem</v>
      </c>
      <c r="H5" s="27" t="str">
        <f>VLOOKUP(B5,dict.term!A:G,4,FALSE)&amp;""</f>
        <v>PubChemを入力してください</v>
      </c>
      <c r="I5" s="27" t="str">
        <f>VLOOKUP(B5,dict.term!A:G,5,FALSE)&amp;""</f>
        <v>Please enter PubChem</v>
      </c>
      <c r="J5" s="27" t="str">
        <f>VLOOKUP(B5,dict.term!A:G,6,FALSE)&amp;""</f>
        <v>NULL</v>
      </c>
      <c r="K5" s="27" t="str">
        <f>VLOOKUP(B5,dict.term!A:G,7,FALSE)&amp;""</f>
        <v>2022-07-11 04:36:42.734137+00</v>
      </c>
      <c r="L5" s="27" t="str">
        <f t="shared" si="0"/>
        <v>有機材料/PubChem</v>
      </c>
      <c r="M5" s="27" t="str">
        <f t="shared" si="1"/>
        <v>organic material/PubChem</v>
      </c>
    </row>
    <row r="6" spans="1:13">
      <c r="A6" s="29" t="s">
        <v>1309</v>
      </c>
      <c r="B6" s="29" t="s">
        <v>1209</v>
      </c>
      <c r="C6" s="29" t="s">
        <v>1333</v>
      </c>
      <c r="D6" s="27" t="str">
        <f>VLOOKUP(A6,sample.sample_class!A:C,2,FALSE)&amp;""</f>
        <v>有機材料</v>
      </c>
      <c r="E6" s="27" t="str">
        <f>VLOOKUP(A6,sample.sample_class!A:C,3,FALSE)&amp;""</f>
        <v>organic material</v>
      </c>
      <c r="F6" s="27" t="str">
        <f>VLOOKUP(B6,dict.term!A:G,2,FALSE)&amp;""</f>
        <v>粘度</v>
      </c>
      <c r="G6" s="27" t="str">
        <f>VLOOKUP(B6,dict.term!A:G,3,FALSE)&amp;""</f>
        <v>viscosity</v>
      </c>
      <c r="H6" s="27" t="str">
        <f>VLOOKUP(B6,dict.term!A:G,4,FALSE)&amp;""</f>
        <v>粘度を入力してください</v>
      </c>
      <c r="I6" s="27" t="str">
        <f>VLOOKUP(B6,dict.term!A:G,5,FALSE)&amp;""</f>
        <v>Please enter viscosity</v>
      </c>
      <c r="J6" s="27" t="str">
        <f>VLOOKUP(B6,dict.term!A:G,6,FALSE)&amp;""</f>
        <v>https://matvoc.nims.go.jp/wiki/Item:Q284</v>
      </c>
      <c r="K6" s="27" t="str">
        <f>VLOOKUP(B6,dict.term!A:G,7,FALSE)&amp;""</f>
        <v>2022-07-11 04:36:42.734137+00</v>
      </c>
      <c r="L6" s="27" t="str">
        <f t="shared" si="0"/>
        <v>有機材料/粘度</v>
      </c>
      <c r="M6" s="27" t="str">
        <f t="shared" si="1"/>
        <v>organic material/viscosity</v>
      </c>
    </row>
    <row r="7" spans="1:13">
      <c r="A7" s="29" t="s">
        <v>1309</v>
      </c>
      <c r="B7" s="29" t="s">
        <v>1215</v>
      </c>
      <c r="C7" s="29" t="s">
        <v>1334</v>
      </c>
      <c r="D7" s="27" t="str">
        <f>VLOOKUP(A7,sample.sample_class!A:C,2,FALSE)&amp;""</f>
        <v>有機材料</v>
      </c>
      <c r="E7" s="27" t="str">
        <f>VLOOKUP(A7,sample.sample_class!A:C,3,FALSE)&amp;""</f>
        <v>organic material</v>
      </c>
      <c r="F7" s="27" t="str">
        <f>VLOOKUP(B7,dict.term!A:G,2,FALSE)&amp;""</f>
        <v>沸点</v>
      </c>
      <c r="G7" s="27" t="str">
        <f>VLOOKUP(B7,dict.term!A:G,3,FALSE)&amp;""</f>
        <v>boiling point</v>
      </c>
      <c r="H7" s="27" t="str">
        <f>VLOOKUP(B7,dict.term!A:G,4,FALSE)&amp;""</f>
        <v>沸点を入力してください</v>
      </c>
      <c r="I7" s="27" t="str">
        <f>VLOOKUP(B7,dict.term!A:G,5,FALSE)&amp;""</f>
        <v>Please enter boiling point</v>
      </c>
      <c r="J7" s="27" t="str">
        <f>VLOOKUP(B7,dict.term!A:G,6,FALSE)&amp;""</f>
        <v>NULL</v>
      </c>
      <c r="K7" s="27" t="str">
        <f>VLOOKUP(B7,dict.term!A:G,7,FALSE)&amp;""</f>
        <v>2022-07-11 04:36:42.734137+00</v>
      </c>
      <c r="L7" s="27" t="str">
        <f t="shared" si="0"/>
        <v>有機材料/沸点</v>
      </c>
      <c r="M7" s="27" t="str">
        <f t="shared" si="1"/>
        <v>organic material/boiling point</v>
      </c>
    </row>
    <row r="8" spans="1:13">
      <c r="A8" s="29" t="s">
        <v>1309</v>
      </c>
      <c r="B8" s="29" t="s">
        <v>1220</v>
      </c>
      <c r="C8" s="29" t="s">
        <v>1335</v>
      </c>
      <c r="D8" s="27" t="str">
        <f>VLOOKUP(A8,sample.sample_class!A:C,2,FALSE)&amp;""</f>
        <v>有機材料</v>
      </c>
      <c r="E8" s="27" t="str">
        <f>VLOOKUP(A8,sample.sample_class!A:C,3,FALSE)&amp;""</f>
        <v>organic material</v>
      </c>
      <c r="F8" s="27" t="str">
        <f>VLOOKUP(B8,dict.term!A:G,2,FALSE)&amp;""</f>
        <v>融点</v>
      </c>
      <c r="G8" s="27" t="str">
        <f>VLOOKUP(B8,dict.term!A:G,3,FALSE)&amp;""</f>
        <v>Melting temperature</v>
      </c>
      <c r="H8" s="27" t="str">
        <f>VLOOKUP(B8,dict.term!A:G,4,FALSE)&amp;""</f>
        <v>融点を入力してください</v>
      </c>
      <c r="I8" s="27" t="str">
        <f>VLOOKUP(B8,dict.term!A:G,5,FALSE)&amp;""</f>
        <v>Please enter Melting temperature</v>
      </c>
      <c r="J8" s="27" t="str">
        <f>VLOOKUP(B8,dict.term!A:G,6,FALSE)&amp;""</f>
        <v>https://matvoc.nims.go.jp/wiki/Item:Q297</v>
      </c>
      <c r="K8" s="27" t="str">
        <f>VLOOKUP(B8,dict.term!A:G,7,FALSE)&amp;""</f>
        <v>2022-07-11 04:36:42.734137+00</v>
      </c>
      <c r="L8" s="27" t="str">
        <f t="shared" si="0"/>
        <v>有機材料/融点</v>
      </c>
      <c r="M8" s="27" t="str">
        <f t="shared" si="1"/>
        <v>organic material/Melting temperature</v>
      </c>
    </row>
    <row r="9" spans="1:13">
      <c r="A9" s="29" t="s">
        <v>1312</v>
      </c>
      <c r="B9" s="29" t="s">
        <v>1200</v>
      </c>
      <c r="C9" s="29" t="s">
        <v>1336</v>
      </c>
      <c r="D9" s="27" t="str">
        <f>VLOOKUP(A9,sample.sample_class!A:C,2,FALSE)&amp;""</f>
        <v>無機材料</v>
      </c>
      <c r="E9" s="27" t="str">
        <f>VLOOKUP(A9,sample.sample_class!A:C,3,FALSE)&amp;""</f>
        <v>inorganic material</v>
      </c>
      <c r="F9" s="27" t="str">
        <f>VLOOKUP(B9,dict.term!A:G,2,FALSE)&amp;""</f>
        <v>名称</v>
      </c>
      <c r="G9" s="27" t="str">
        <f>VLOOKUP(B9,dict.term!A:G,3,FALSE)&amp;""</f>
        <v>Name</v>
      </c>
      <c r="H9" s="27" t="str">
        <f>VLOOKUP(B9,dict.term!A:G,4,FALSE)&amp;""</f>
        <v>名称を入力してください</v>
      </c>
      <c r="I9" s="27" t="str">
        <f>VLOOKUP(B9,dict.term!A:G,5,FALSE)&amp;""</f>
        <v>Please enter Name</v>
      </c>
      <c r="J9" s="27" t="str">
        <f>VLOOKUP(B9,dict.term!A:G,6,FALSE)&amp;""</f>
        <v>NULL</v>
      </c>
      <c r="K9" s="27" t="str">
        <f>VLOOKUP(B9,dict.term!A:G,7,FALSE)&amp;""</f>
        <v>2022-07-11 04:36:42.734137+00</v>
      </c>
      <c r="L9" s="27" t="str">
        <f t="shared" si="0"/>
        <v>無機材料/名称</v>
      </c>
      <c r="M9" s="27" t="str">
        <f t="shared" si="1"/>
        <v>inorganic material/Name</v>
      </c>
    </row>
    <row r="10" spans="1:13">
      <c r="A10" s="29" t="s">
        <v>1312</v>
      </c>
      <c r="B10" s="29" t="s">
        <v>1195</v>
      </c>
      <c r="C10" s="29" t="s">
        <v>1337</v>
      </c>
      <c r="D10" s="27" t="str">
        <f>VLOOKUP(A10,sample.sample_class!A:C,2,FALSE)&amp;""</f>
        <v>無機材料</v>
      </c>
      <c r="E10" s="27" t="str">
        <f>VLOOKUP(A10,sample.sample_class!A:C,3,FALSE)&amp;""</f>
        <v>inorganic material</v>
      </c>
      <c r="F10" s="27" t="str">
        <f>VLOOKUP(B10,dict.term!A:G,2,FALSE)&amp;""</f>
        <v>化学式</v>
      </c>
      <c r="G10" s="27" t="str">
        <f>VLOOKUP(B10,dict.term!A:G,3,FALSE)&amp;""</f>
        <v>Chemical formula</v>
      </c>
      <c r="H10" s="27" t="str">
        <f>VLOOKUP(B10,dict.term!A:G,4,FALSE)&amp;""</f>
        <v>化学式を入力してください</v>
      </c>
      <c r="I10" s="27" t="str">
        <f>VLOOKUP(B10,dict.term!A:G,5,FALSE)&amp;""</f>
        <v>Please enter Chemical formula</v>
      </c>
      <c r="J10" s="27" t="str">
        <f>VLOOKUP(B10,dict.term!A:G,6,FALSE)&amp;""</f>
        <v>NULL</v>
      </c>
      <c r="K10" s="27" t="str">
        <f>VLOOKUP(B10,dict.term!A:G,7,FALSE)&amp;""</f>
        <v>2022-07-11 04:36:42.734137+00</v>
      </c>
      <c r="L10" s="27" t="str">
        <f t="shared" si="0"/>
        <v>無機材料/化学式</v>
      </c>
      <c r="M10" s="27" t="str">
        <f t="shared" si="1"/>
        <v>inorganic material/Chemical formula</v>
      </c>
    </row>
    <row r="11" spans="1:13">
      <c r="A11" s="29" t="s">
        <v>1312</v>
      </c>
      <c r="B11" s="29" t="s">
        <v>1184</v>
      </c>
      <c r="C11" s="29" t="s">
        <v>1338</v>
      </c>
      <c r="D11" s="27" t="str">
        <f>VLOOKUP(A11,sample.sample_class!A:C,2,FALSE)&amp;""</f>
        <v>無機材料</v>
      </c>
      <c r="E11" s="27" t="str">
        <f>VLOOKUP(A11,sample.sample_class!A:C,3,FALSE)&amp;""</f>
        <v>inorganic material</v>
      </c>
      <c r="F11" s="27" t="str">
        <f>VLOOKUP(B11,dict.term!A:G,2,FALSE)&amp;""</f>
        <v>空間群</v>
      </c>
      <c r="G11" s="27" t="str">
        <f>VLOOKUP(B11,dict.term!A:G,3,FALSE)&amp;""</f>
        <v>Space group</v>
      </c>
      <c r="H11" s="27" t="str">
        <f>VLOOKUP(B11,dict.term!A:G,4,FALSE)&amp;""</f>
        <v>空間群を入力してください</v>
      </c>
      <c r="I11" s="27" t="str">
        <f>VLOOKUP(B11,dict.term!A:G,5,FALSE)&amp;""</f>
        <v>Please enter Space group</v>
      </c>
      <c r="J11" s="27" t="str">
        <f>VLOOKUP(B11,dict.term!A:G,6,FALSE)&amp;""</f>
        <v>https://matvoc.nims.go.jp/wiki/Item:Q224</v>
      </c>
      <c r="K11" s="27" t="str">
        <f>VLOOKUP(B11,dict.term!A:G,7,FALSE)&amp;""</f>
        <v>2022-07-11 04:36:42.734137+00</v>
      </c>
      <c r="L11" s="27" t="str">
        <f t="shared" si="0"/>
        <v>無機材料/空間群</v>
      </c>
      <c r="M11" s="27" t="str">
        <f t="shared" si="1"/>
        <v>inorganic material/Space group</v>
      </c>
    </row>
    <row r="12" spans="1:13">
      <c r="A12" s="29" t="s">
        <v>1315</v>
      </c>
      <c r="B12" s="29" t="s">
        <v>1195</v>
      </c>
      <c r="C12" s="29" t="s">
        <v>1339</v>
      </c>
      <c r="D12" s="27" t="str">
        <f>VLOOKUP(A12,sample.sample_class!A:C,2,FALSE)&amp;""</f>
        <v>金属・合金</v>
      </c>
      <c r="E12" s="27" t="str">
        <f>VLOOKUP(A12,sample.sample_class!A:C,3,FALSE)&amp;""</f>
        <v>metals and alloys</v>
      </c>
      <c r="F12" s="27" t="str">
        <f>VLOOKUP(B12,dict.term!A:G,2,FALSE)&amp;""</f>
        <v>化学式</v>
      </c>
      <c r="G12" s="27" t="str">
        <f>VLOOKUP(B12,dict.term!A:G,3,FALSE)&amp;""</f>
        <v>Chemical formula</v>
      </c>
      <c r="H12" s="27" t="str">
        <f>VLOOKUP(B12,dict.term!A:G,4,FALSE)&amp;""</f>
        <v>化学式を入力してください</v>
      </c>
      <c r="I12" s="27" t="str">
        <f>VLOOKUP(B12,dict.term!A:G,5,FALSE)&amp;""</f>
        <v>Please enter Chemical formula</v>
      </c>
      <c r="J12" s="27" t="str">
        <f>VLOOKUP(B12,dict.term!A:G,6,FALSE)&amp;""</f>
        <v>NULL</v>
      </c>
      <c r="K12" s="27" t="str">
        <f>VLOOKUP(B12,dict.term!A:G,7,FALSE)&amp;""</f>
        <v>2022-07-11 04:36:42.734137+00</v>
      </c>
      <c r="L12" s="27" t="str">
        <f t="shared" si="0"/>
        <v>金属・合金/化学式</v>
      </c>
      <c r="M12" s="27" t="str">
        <f t="shared" si="1"/>
        <v>metals and alloys/Chemical formula</v>
      </c>
    </row>
    <row r="13" spans="1:13">
      <c r="A13" s="29" t="s">
        <v>1315</v>
      </c>
      <c r="B13" s="29" t="s">
        <v>1200</v>
      </c>
      <c r="C13" s="29" t="s">
        <v>1340</v>
      </c>
      <c r="D13" s="27" t="str">
        <f>VLOOKUP(A13,sample.sample_class!A:C,2,FALSE)&amp;""</f>
        <v>金属・合金</v>
      </c>
      <c r="E13" s="27" t="str">
        <f>VLOOKUP(A13,sample.sample_class!A:C,3,FALSE)&amp;""</f>
        <v>metals and alloys</v>
      </c>
      <c r="F13" s="27" t="str">
        <f>VLOOKUP(B13,dict.term!A:G,2,FALSE)&amp;""</f>
        <v>名称</v>
      </c>
      <c r="G13" s="27" t="str">
        <f>VLOOKUP(B13,dict.term!A:G,3,FALSE)&amp;""</f>
        <v>Name</v>
      </c>
      <c r="H13" s="27" t="str">
        <f>VLOOKUP(B13,dict.term!A:G,4,FALSE)&amp;""</f>
        <v>名称を入力してください</v>
      </c>
      <c r="I13" s="27" t="str">
        <f>VLOOKUP(B13,dict.term!A:G,5,FALSE)&amp;""</f>
        <v>Please enter Name</v>
      </c>
      <c r="J13" s="27" t="str">
        <f>VLOOKUP(B13,dict.term!A:G,6,FALSE)&amp;""</f>
        <v>NULL</v>
      </c>
      <c r="K13" s="27" t="str">
        <f>VLOOKUP(B13,dict.term!A:G,7,FALSE)&amp;""</f>
        <v>2022-07-11 04:36:42.734137+00</v>
      </c>
      <c r="L13" s="27" t="str">
        <f t="shared" si="0"/>
        <v>金属・合金/名称</v>
      </c>
      <c r="M13" s="27" t="str">
        <f t="shared" si="1"/>
        <v>metals and alloys/Name</v>
      </c>
    </row>
    <row r="14" spans="1:13">
      <c r="A14" s="29" t="s">
        <v>1315</v>
      </c>
      <c r="B14" s="29" t="s">
        <v>1159</v>
      </c>
      <c r="C14" s="29" t="s">
        <v>1341</v>
      </c>
      <c r="D14" s="27" t="str">
        <f>VLOOKUP(A14,sample.sample_class!A:C,2,FALSE)&amp;""</f>
        <v>金属・合金</v>
      </c>
      <c r="E14" s="27" t="str">
        <f>VLOOKUP(A14,sample.sample_class!A:C,3,FALSE)&amp;""</f>
        <v>metals and alloys</v>
      </c>
      <c r="F14" s="27" t="str">
        <f>VLOOKUP(B14,dict.term!A:G,2,FALSE)&amp;""</f>
        <v>CAS番号</v>
      </c>
      <c r="G14" s="27" t="str">
        <f>VLOOKUP(B14,dict.term!A:G,3,FALSE)&amp;""</f>
        <v>CAS Number</v>
      </c>
      <c r="H14" s="27" t="str">
        <f>VLOOKUP(B14,dict.term!A:G,4,FALSE)&amp;""</f>
        <v>CAS番号を入力してください</v>
      </c>
      <c r="I14" s="27" t="str">
        <f>VLOOKUP(B14,dict.term!A:G,5,FALSE)&amp;""</f>
        <v>Please enter CAS Number</v>
      </c>
      <c r="J14" s="27" t="str">
        <f>VLOOKUP(B14,dict.term!A:G,6,FALSE)&amp;""</f>
        <v>NULL</v>
      </c>
      <c r="K14" s="27" t="str">
        <f>VLOOKUP(B14,dict.term!A:G,7,FALSE)&amp;""</f>
        <v>2022-07-11 04:36:42.734137+00</v>
      </c>
      <c r="L14" s="27" t="str">
        <f t="shared" si="0"/>
        <v>金属・合金/CAS番号</v>
      </c>
      <c r="M14" s="27" t="str">
        <f t="shared" si="1"/>
        <v>metals and alloys/CAS Number</v>
      </c>
    </row>
    <row r="15" spans="1:13">
      <c r="A15" s="29" t="s">
        <v>1315</v>
      </c>
      <c r="B15" s="29" t="s">
        <v>1184</v>
      </c>
      <c r="C15" s="29" t="s">
        <v>1342</v>
      </c>
      <c r="D15" s="27" t="str">
        <f>VLOOKUP(A15,sample.sample_class!A:C,2,FALSE)&amp;""</f>
        <v>金属・合金</v>
      </c>
      <c r="E15" s="27" t="str">
        <f>VLOOKUP(A15,sample.sample_class!A:C,3,FALSE)&amp;""</f>
        <v>metals and alloys</v>
      </c>
      <c r="F15" s="27" t="str">
        <f>VLOOKUP(B15,dict.term!A:G,2,FALSE)&amp;""</f>
        <v>空間群</v>
      </c>
      <c r="G15" s="27" t="str">
        <f>VLOOKUP(B15,dict.term!A:G,3,FALSE)&amp;""</f>
        <v>Space group</v>
      </c>
      <c r="H15" s="27" t="str">
        <f>VLOOKUP(B15,dict.term!A:G,4,FALSE)&amp;""</f>
        <v>空間群を入力してください</v>
      </c>
      <c r="I15" s="27" t="str">
        <f>VLOOKUP(B15,dict.term!A:G,5,FALSE)&amp;""</f>
        <v>Please enter Space group</v>
      </c>
      <c r="J15" s="27" t="str">
        <f>VLOOKUP(B15,dict.term!A:G,6,FALSE)&amp;""</f>
        <v>https://matvoc.nims.go.jp/wiki/Item:Q224</v>
      </c>
      <c r="K15" s="27" t="str">
        <f>VLOOKUP(B15,dict.term!A:G,7,FALSE)&amp;""</f>
        <v>2022-07-11 04:36:42.734137+00</v>
      </c>
      <c r="L15" s="27" t="str">
        <f t="shared" si="0"/>
        <v>金属・合金/空間群</v>
      </c>
      <c r="M15" s="27" t="str">
        <f t="shared" si="1"/>
        <v>metals and alloys/Space group</v>
      </c>
    </row>
    <row r="16" spans="1:13">
      <c r="A16" s="29" t="s">
        <v>1315</v>
      </c>
      <c r="B16" s="29" t="s">
        <v>1174</v>
      </c>
      <c r="C16" s="29" t="s">
        <v>1343</v>
      </c>
      <c r="D16" s="27" t="str">
        <f>VLOOKUP(A16,sample.sample_class!A:C,2,FALSE)&amp;""</f>
        <v>金属・合金</v>
      </c>
      <c r="E16" s="27" t="str">
        <f>VLOOKUP(A16,sample.sample_class!A:C,3,FALSE)&amp;""</f>
        <v>metals and alloys</v>
      </c>
      <c r="F16" s="27" t="str">
        <f>VLOOKUP(B16,dict.term!A:G,2,FALSE)&amp;""</f>
        <v>結晶構造</v>
      </c>
      <c r="G16" s="27" t="str">
        <f>VLOOKUP(B16,dict.term!A:G,3,FALSE)&amp;""</f>
        <v>Crystal structure</v>
      </c>
      <c r="H16" s="27" t="str">
        <f>VLOOKUP(B16,dict.term!A:G,4,FALSE)&amp;""</f>
        <v>結晶構造を入力してください</v>
      </c>
      <c r="I16" s="27" t="str">
        <f>VLOOKUP(B16,dict.term!A:G,5,FALSE)&amp;""</f>
        <v>Please enter Crystal structure</v>
      </c>
      <c r="J16" s="27" t="str">
        <f>VLOOKUP(B16,dict.term!A:G,6,FALSE)&amp;""</f>
        <v>NULL</v>
      </c>
      <c r="K16" s="27" t="str">
        <f>VLOOKUP(B16,dict.term!A:G,7,FALSE)&amp;""</f>
        <v>2022-07-11 04:36:42.734137+00</v>
      </c>
      <c r="L16" s="27" t="str">
        <f t="shared" si="0"/>
        <v>金属・合金/結晶構造</v>
      </c>
      <c r="M16" s="27" t="str">
        <f t="shared" si="1"/>
        <v>metals and alloys/Crystal structure</v>
      </c>
    </row>
    <row r="17" spans="1:13">
      <c r="A17" s="29" t="s">
        <v>1315</v>
      </c>
      <c r="B17" s="29" t="s">
        <v>1215</v>
      </c>
      <c r="C17" s="29" t="s">
        <v>1344</v>
      </c>
      <c r="D17" s="27" t="str">
        <f>VLOOKUP(A17,sample.sample_class!A:C,2,FALSE)&amp;""</f>
        <v>金属・合金</v>
      </c>
      <c r="E17" s="27" t="str">
        <f>VLOOKUP(A17,sample.sample_class!A:C,3,FALSE)&amp;""</f>
        <v>metals and alloys</v>
      </c>
      <c r="F17" s="27" t="str">
        <f>VLOOKUP(B17,dict.term!A:G,2,FALSE)&amp;""</f>
        <v>沸点</v>
      </c>
      <c r="G17" s="27" t="str">
        <f>VLOOKUP(B17,dict.term!A:G,3,FALSE)&amp;""</f>
        <v>boiling point</v>
      </c>
      <c r="H17" s="27" t="str">
        <f>VLOOKUP(B17,dict.term!A:G,4,FALSE)&amp;""</f>
        <v>沸点を入力してください</v>
      </c>
      <c r="I17" s="27" t="str">
        <f>VLOOKUP(B17,dict.term!A:G,5,FALSE)&amp;""</f>
        <v>Please enter boiling point</v>
      </c>
      <c r="J17" s="27" t="str">
        <f>VLOOKUP(B17,dict.term!A:G,6,FALSE)&amp;""</f>
        <v>NULL</v>
      </c>
      <c r="K17" s="27" t="str">
        <f>VLOOKUP(B17,dict.term!A:G,7,FALSE)&amp;""</f>
        <v>2022-07-11 04:36:42.734137+00</v>
      </c>
      <c r="L17" s="27" t="str">
        <f t="shared" si="0"/>
        <v>金属・合金/沸点</v>
      </c>
      <c r="M17" s="27" t="str">
        <f t="shared" si="1"/>
        <v>metals and alloys/boiling point</v>
      </c>
    </row>
    <row r="18" spans="1:13">
      <c r="A18" s="29" t="s">
        <v>1315</v>
      </c>
      <c r="B18" s="29" t="s">
        <v>1220</v>
      </c>
      <c r="C18" s="29" t="s">
        <v>1345</v>
      </c>
      <c r="D18" s="27" t="str">
        <f>VLOOKUP(A18,sample.sample_class!A:C,2,FALSE)&amp;""</f>
        <v>金属・合金</v>
      </c>
      <c r="E18" s="27" t="str">
        <f>VLOOKUP(A18,sample.sample_class!A:C,3,FALSE)&amp;""</f>
        <v>metals and alloys</v>
      </c>
      <c r="F18" s="27" t="str">
        <f>VLOOKUP(B18,dict.term!A:G,2,FALSE)&amp;""</f>
        <v>融点</v>
      </c>
      <c r="G18" s="27" t="str">
        <f>VLOOKUP(B18,dict.term!A:G,3,FALSE)&amp;""</f>
        <v>Melting temperature</v>
      </c>
      <c r="H18" s="27" t="str">
        <f>VLOOKUP(B18,dict.term!A:G,4,FALSE)&amp;""</f>
        <v>融点を入力してください</v>
      </c>
      <c r="I18" s="27" t="str">
        <f>VLOOKUP(B18,dict.term!A:G,5,FALSE)&amp;""</f>
        <v>Please enter Melting temperature</v>
      </c>
      <c r="J18" s="27" t="str">
        <f>VLOOKUP(B18,dict.term!A:G,6,FALSE)&amp;""</f>
        <v>https://matvoc.nims.go.jp/wiki/Item:Q297</v>
      </c>
      <c r="K18" s="27" t="str">
        <f>VLOOKUP(B18,dict.term!A:G,7,FALSE)&amp;""</f>
        <v>2022-07-11 04:36:42.734137+00</v>
      </c>
      <c r="L18" s="27" t="str">
        <f t="shared" si="0"/>
        <v>金属・合金/融点</v>
      </c>
      <c r="M18" s="27" t="str">
        <f t="shared" si="1"/>
        <v>metals and alloys/Melting temperature</v>
      </c>
    </row>
    <row r="19" spans="1:13">
      <c r="A19" s="29" t="s">
        <v>1318</v>
      </c>
      <c r="B19" s="29" t="s">
        <v>1195</v>
      </c>
      <c r="C19" s="29" t="s">
        <v>1346</v>
      </c>
      <c r="D19" s="27" t="str">
        <f>VLOOKUP(A19,sample.sample_class!A:C,2,FALSE)&amp;""</f>
        <v>ポリマー</v>
      </c>
      <c r="E19" s="27" t="str">
        <f>VLOOKUP(A19,sample.sample_class!A:C,3,FALSE)&amp;""</f>
        <v>polymers</v>
      </c>
      <c r="F19" s="27" t="str">
        <f>VLOOKUP(B19,dict.term!A:G,2,FALSE)&amp;""</f>
        <v>化学式</v>
      </c>
      <c r="G19" s="27" t="str">
        <f>VLOOKUP(B19,dict.term!A:G,3,FALSE)&amp;""</f>
        <v>Chemical formula</v>
      </c>
      <c r="H19" s="27" t="str">
        <f>VLOOKUP(B19,dict.term!A:G,4,FALSE)&amp;""</f>
        <v>化学式を入力してください</v>
      </c>
      <c r="I19" s="27" t="str">
        <f>VLOOKUP(B19,dict.term!A:G,5,FALSE)&amp;""</f>
        <v>Please enter Chemical formula</v>
      </c>
      <c r="J19" s="27" t="str">
        <f>VLOOKUP(B19,dict.term!A:G,6,FALSE)&amp;""</f>
        <v>NULL</v>
      </c>
      <c r="K19" s="27" t="str">
        <f>VLOOKUP(B19,dict.term!A:G,7,FALSE)&amp;""</f>
        <v>2022-07-11 04:36:42.734137+00</v>
      </c>
      <c r="L19" s="27" t="str">
        <f t="shared" si="0"/>
        <v>ポリマー/化学式</v>
      </c>
      <c r="M19" s="27" t="str">
        <f t="shared" si="1"/>
        <v>polymers/Chemical formula</v>
      </c>
    </row>
    <row r="20" spans="1:13">
      <c r="A20" s="29" t="s">
        <v>1318</v>
      </c>
      <c r="B20" s="29" t="s">
        <v>1200</v>
      </c>
      <c r="C20" s="29" t="s">
        <v>1347</v>
      </c>
      <c r="D20" s="27" t="str">
        <f>VLOOKUP(A20,sample.sample_class!A:C,2,FALSE)&amp;""</f>
        <v>ポリマー</v>
      </c>
      <c r="E20" s="27" t="str">
        <f>VLOOKUP(A20,sample.sample_class!A:C,3,FALSE)&amp;""</f>
        <v>polymers</v>
      </c>
      <c r="F20" s="27" t="str">
        <f>VLOOKUP(B20,dict.term!A:G,2,FALSE)&amp;""</f>
        <v>名称</v>
      </c>
      <c r="G20" s="27" t="str">
        <f>VLOOKUP(B20,dict.term!A:G,3,FALSE)&amp;""</f>
        <v>Name</v>
      </c>
      <c r="H20" s="27" t="str">
        <f>VLOOKUP(B20,dict.term!A:G,4,FALSE)&amp;""</f>
        <v>名称を入力してください</v>
      </c>
      <c r="I20" s="27" t="str">
        <f>VLOOKUP(B20,dict.term!A:G,5,FALSE)&amp;""</f>
        <v>Please enter Name</v>
      </c>
      <c r="J20" s="27" t="str">
        <f>VLOOKUP(B20,dict.term!A:G,6,FALSE)&amp;""</f>
        <v>NULL</v>
      </c>
      <c r="K20" s="27" t="str">
        <f>VLOOKUP(B20,dict.term!A:G,7,FALSE)&amp;""</f>
        <v>2022-07-11 04:36:42.734137+00</v>
      </c>
      <c r="L20" s="27" t="str">
        <f t="shared" si="0"/>
        <v>ポリマー/名称</v>
      </c>
      <c r="M20" s="27" t="str">
        <f t="shared" si="1"/>
        <v>polymers/Name</v>
      </c>
    </row>
    <row r="21" spans="1:13">
      <c r="A21" s="29" t="s">
        <v>1318</v>
      </c>
      <c r="B21" s="29" t="s">
        <v>1159</v>
      </c>
      <c r="C21" s="29" t="s">
        <v>1348</v>
      </c>
      <c r="D21" s="27" t="str">
        <f>VLOOKUP(A21,sample.sample_class!A:C,2,FALSE)&amp;""</f>
        <v>ポリマー</v>
      </c>
      <c r="E21" s="27" t="str">
        <f>VLOOKUP(A21,sample.sample_class!A:C,3,FALSE)&amp;""</f>
        <v>polymers</v>
      </c>
      <c r="F21" s="27" t="str">
        <f>VLOOKUP(B21,dict.term!A:G,2,FALSE)&amp;""</f>
        <v>CAS番号</v>
      </c>
      <c r="G21" s="27" t="str">
        <f>VLOOKUP(B21,dict.term!A:G,3,FALSE)&amp;""</f>
        <v>CAS Number</v>
      </c>
      <c r="H21" s="27" t="str">
        <f>VLOOKUP(B21,dict.term!A:G,4,FALSE)&amp;""</f>
        <v>CAS番号を入力してください</v>
      </c>
      <c r="I21" s="27" t="str">
        <f>VLOOKUP(B21,dict.term!A:G,5,FALSE)&amp;""</f>
        <v>Please enter CAS Number</v>
      </c>
      <c r="J21" s="27" t="str">
        <f>VLOOKUP(B21,dict.term!A:G,6,FALSE)&amp;""</f>
        <v>NULL</v>
      </c>
      <c r="K21" s="27" t="str">
        <f>VLOOKUP(B21,dict.term!A:G,7,FALSE)&amp;""</f>
        <v>2022-07-11 04:36:42.734137+00</v>
      </c>
      <c r="L21" s="27" t="str">
        <f t="shared" si="0"/>
        <v>ポリマー/CAS番号</v>
      </c>
      <c r="M21" s="27" t="str">
        <f t="shared" si="1"/>
        <v>polymers/CAS Number</v>
      </c>
    </row>
    <row r="22" spans="1:13">
      <c r="A22" s="29" t="s">
        <v>1318</v>
      </c>
      <c r="B22" s="29" t="s">
        <v>1205</v>
      </c>
      <c r="C22" s="29" t="s">
        <v>1349</v>
      </c>
      <c r="D22" s="27" t="str">
        <f>VLOOKUP(A22,sample.sample_class!A:C,2,FALSE)&amp;""</f>
        <v>ポリマー</v>
      </c>
      <c r="E22" s="27" t="str">
        <f>VLOOKUP(A22,sample.sample_class!A:C,3,FALSE)&amp;""</f>
        <v>polymers</v>
      </c>
      <c r="F22" s="27" t="str">
        <f>VLOOKUP(B22,dict.term!A:G,2,FALSE)&amp;""</f>
        <v>PubChem</v>
      </c>
      <c r="G22" s="27" t="str">
        <f>VLOOKUP(B22,dict.term!A:G,3,FALSE)&amp;""</f>
        <v>PubChem</v>
      </c>
      <c r="H22" s="27" t="str">
        <f>VLOOKUP(B22,dict.term!A:G,4,FALSE)&amp;""</f>
        <v>PubChemを入力してください</v>
      </c>
      <c r="I22" s="27" t="str">
        <f>VLOOKUP(B22,dict.term!A:G,5,FALSE)&amp;""</f>
        <v>Please enter PubChem</v>
      </c>
      <c r="J22" s="27" t="str">
        <f>VLOOKUP(B22,dict.term!A:G,6,FALSE)&amp;""</f>
        <v>NULL</v>
      </c>
      <c r="K22" s="27" t="str">
        <f>VLOOKUP(B22,dict.term!A:G,7,FALSE)&amp;""</f>
        <v>2022-07-11 04:36:42.734137+00</v>
      </c>
      <c r="L22" s="27" t="str">
        <f t="shared" si="0"/>
        <v>ポリマー/PubChem</v>
      </c>
      <c r="M22" s="27" t="str">
        <f t="shared" si="1"/>
        <v>polymers/PubChem</v>
      </c>
    </row>
    <row r="23" spans="1:13">
      <c r="A23" s="29" t="s">
        <v>1318</v>
      </c>
      <c r="B23" s="29" t="s">
        <v>1220</v>
      </c>
      <c r="C23" s="29" t="s">
        <v>1350</v>
      </c>
      <c r="D23" s="27" t="str">
        <f>VLOOKUP(A23,sample.sample_class!A:C,2,FALSE)&amp;""</f>
        <v>ポリマー</v>
      </c>
      <c r="E23" s="27" t="str">
        <f>VLOOKUP(A23,sample.sample_class!A:C,3,FALSE)&amp;""</f>
        <v>polymers</v>
      </c>
      <c r="F23" s="27" t="str">
        <f>VLOOKUP(B23,dict.term!A:G,2,FALSE)&amp;""</f>
        <v>融点</v>
      </c>
      <c r="G23" s="27" t="str">
        <f>VLOOKUP(B23,dict.term!A:G,3,FALSE)&amp;""</f>
        <v>Melting temperature</v>
      </c>
      <c r="H23" s="27" t="str">
        <f>VLOOKUP(B23,dict.term!A:G,4,FALSE)&amp;""</f>
        <v>融点を入力してください</v>
      </c>
      <c r="I23" s="27" t="str">
        <f>VLOOKUP(B23,dict.term!A:G,5,FALSE)&amp;""</f>
        <v>Please enter Melting temperature</v>
      </c>
      <c r="J23" s="27" t="str">
        <f>VLOOKUP(B23,dict.term!A:G,6,FALSE)&amp;""</f>
        <v>https://matvoc.nims.go.jp/wiki/Item:Q297</v>
      </c>
      <c r="K23" s="27" t="str">
        <f>VLOOKUP(B23,dict.term!A:G,7,FALSE)&amp;""</f>
        <v>2022-07-11 04:36:42.734137+00</v>
      </c>
      <c r="L23" s="27" t="str">
        <f t="shared" si="0"/>
        <v>ポリマー/融点</v>
      </c>
      <c r="M23" s="27" t="str">
        <f t="shared" si="1"/>
        <v>polymers/Melting temperature</v>
      </c>
    </row>
    <row r="24" spans="1:13">
      <c r="A24" s="29" t="s">
        <v>1321</v>
      </c>
      <c r="B24" s="29" t="s">
        <v>1200</v>
      </c>
      <c r="C24" s="29" t="s">
        <v>1351</v>
      </c>
      <c r="D24" s="27" t="str">
        <f>VLOOKUP(A24,sample.sample_class!A:C,2,FALSE)&amp;""</f>
        <v>半導体</v>
      </c>
      <c r="E24" s="27" t="str">
        <f>VLOOKUP(A24,sample.sample_class!A:C,3,FALSE)&amp;""</f>
        <v>semiconductors</v>
      </c>
      <c r="F24" s="27" t="str">
        <f>VLOOKUP(B24,dict.term!A:G,2,FALSE)&amp;""</f>
        <v>名称</v>
      </c>
      <c r="G24" s="27" t="str">
        <f>VLOOKUP(B24,dict.term!A:G,3,FALSE)&amp;""</f>
        <v>Name</v>
      </c>
      <c r="H24" s="27" t="str">
        <f>VLOOKUP(B24,dict.term!A:G,4,FALSE)&amp;""</f>
        <v>名称を入力してください</v>
      </c>
      <c r="I24" s="27" t="str">
        <f>VLOOKUP(B24,dict.term!A:G,5,FALSE)&amp;""</f>
        <v>Please enter Name</v>
      </c>
      <c r="J24" s="27" t="str">
        <f>VLOOKUP(B24,dict.term!A:G,6,FALSE)&amp;""</f>
        <v>NULL</v>
      </c>
      <c r="K24" s="27" t="str">
        <f>VLOOKUP(B24,dict.term!A:G,7,FALSE)&amp;""</f>
        <v>2022-07-11 04:36:42.734137+00</v>
      </c>
      <c r="L24" s="27" t="str">
        <f t="shared" si="0"/>
        <v>半導体/名称</v>
      </c>
      <c r="M24" s="27" t="str">
        <f t="shared" si="1"/>
        <v>semiconductors/Name</v>
      </c>
    </row>
    <row r="25" spans="1:13">
      <c r="A25" s="29" t="s">
        <v>1323</v>
      </c>
      <c r="B25" s="29" t="s">
        <v>1200</v>
      </c>
      <c r="C25" s="29" t="s">
        <v>1352</v>
      </c>
      <c r="D25" s="27" t="str">
        <f>VLOOKUP(A25,sample.sample_class!A:C,2,FALSE)&amp;""</f>
        <v>セラミックス</v>
      </c>
      <c r="E25" s="27" t="str">
        <f>VLOOKUP(A25,sample.sample_class!A:C,3,FALSE)&amp;""</f>
        <v>ceramics</v>
      </c>
      <c r="F25" s="27" t="str">
        <f>VLOOKUP(B25,dict.term!A:G,2,FALSE)&amp;""</f>
        <v>名称</v>
      </c>
      <c r="G25" s="27" t="str">
        <f>VLOOKUP(B25,dict.term!A:G,3,FALSE)&amp;""</f>
        <v>Name</v>
      </c>
      <c r="H25" s="27" t="str">
        <f>VLOOKUP(B25,dict.term!A:G,4,FALSE)&amp;""</f>
        <v>名称を入力してください</v>
      </c>
      <c r="I25" s="27" t="str">
        <f>VLOOKUP(B25,dict.term!A:G,5,FALSE)&amp;""</f>
        <v>Please enter Name</v>
      </c>
      <c r="J25" s="27" t="str">
        <f>VLOOKUP(B25,dict.term!A:G,6,FALSE)&amp;""</f>
        <v>NULL</v>
      </c>
      <c r="K25" s="27" t="str">
        <f>VLOOKUP(B25,dict.term!A:G,7,FALSE)&amp;""</f>
        <v>2022-07-11 04:36:42.734137+00</v>
      </c>
      <c r="L25" s="27" t="str">
        <f t="shared" si="0"/>
        <v>セラミックス/名称</v>
      </c>
      <c r="M25" s="27" t="str">
        <f t="shared" si="1"/>
        <v>ceramics/Name</v>
      </c>
    </row>
    <row r="26" spans="1:13">
      <c r="A26" s="29" t="s">
        <v>1326</v>
      </c>
      <c r="B26" s="29" t="s">
        <v>1200</v>
      </c>
      <c r="C26" s="29" t="s">
        <v>1353</v>
      </c>
      <c r="D26" s="27" t="str">
        <f>VLOOKUP(A26,sample.sample_class!A:C,2,FALSE)&amp;""</f>
        <v>生物学的物質</v>
      </c>
      <c r="E26" s="27" t="str">
        <f>VLOOKUP(A26,sample.sample_class!A:C,3,FALSE)&amp;""</f>
        <v>biological</v>
      </c>
      <c r="F26" s="27" t="str">
        <f>VLOOKUP(B26,dict.term!A:G,2,FALSE)&amp;""</f>
        <v>名称</v>
      </c>
      <c r="G26" s="27" t="str">
        <f>VLOOKUP(B26,dict.term!A:G,3,FALSE)&amp;""</f>
        <v>Name</v>
      </c>
      <c r="H26" s="27" t="str">
        <f>VLOOKUP(B26,dict.term!A:G,4,FALSE)&amp;""</f>
        <v>名称を入力してください</v>
      </c>
      <c r="I26" s="27" t="str">
        <f>VLOOKUP(B26,dict.term!A:G,5,FALSE)&amp;""</f>
        <v>Please enter Name</v>
      </c>
      <c r="J26" s="27" t="str">
        <f>VLOOKUP(B26,dict.term!A:G,6,FALSE)&amp;""</f>
        <v>NULL</v>
      </c>
      <c r="K26" s="27" t="str">
        <f>VLOOKUP(B26,dict.term!A:G,7,FALSE)&amp;""</f>
        <v>2022-07-11 04:36:42.734137+00</v>
      </c>
      <c r="L26" s="27" t="str">
        <f t="shared" si="0"/>
        <v>生物学的物質/名称</v>
      </c>
      <c r="M26" s="27" t="str">
        <f t="shared" si="1"/>
        <v>biological/Name</v>
      </c>
    </row>
    <row r="27" spans="1:13">
      <c r="A27" s="29" t="s">
        <v>1309</v>
      </c>
      <c r="B27" s="29" t="s">
        <v>1226</v>
      </c>
      <c r="C27" s="29" t="s">
        <v>1354</v>
      </c>
      <c r="D27" s="27" t="str">
        <f>VLOOKUP(A27,sample.sample_class!A:C,2,FALSE)&amp;""</f>
        <v>有機材料</v>
      </c>
      <c r="E27" s="27" t="str">
        <f>VLOOKUP(A27,sample.sample_class!A:C,3,FALSE)&amp;""</f>
        <v>organic material</v>
      </c>
      <c r="F27" s="27" t="str">
        <f>VLOOKUP(B27,dict.term!A:G,2,FALSE)&amp;""</f>
        <v>分子量</v>
      </c>
      <c r="G27" s="27" t="str">
        <f>VLOOKUP(B27,dict.term!A:G,3,FALSE)&amp;""</f>
        <v>molecular weight</v>
      </c>
      <c r="H27" s="27" t="str">
        <f>VLOOKUP(B27,dict.term!A:G,4,FALSE)&amp;""</f>
        <v>分子量を入力してください</v>
      </c>
      <c r="I27" s="27" t="str">
        <f>VLOOKUP(B27,dict.term!A:G,5,FALSE)&amp;""</f>
        <v>Please enter molecular weight</v>
      </c>
      <c r="J27" s="27" t="str">
        <f>VLOOKUP(B27,dict.term!A:G,6,FALSE)&amp;""</f>
        <v>https://matvoc.nims.go.jp/entity/Q551</v>
      </c>
      <c r="K27" s="27" t="str">
        <f>VLOOKUP(B27,dict.term!A:G,7,FALSE)&amp;""</f>
        <v>2022-08-01 09:29:30.179916+00</v>
      </c>
      <c r="L27" s="27" t="str">
        <f t="shared" si="0"/>
        <v>有機材料/分子量</v>
      </c>
      <c r="M27" s="27" t="str">
        <f t="shared" si="1"/>
        <v>organic material/molecular weight</v>
      </c>
    </row>
    <row r="28" spans="1:13">
      <c r="A28" s="29" t="s">
        <v>1309</v>
      </c>
      <c r="B28" s="29" t="s">
        <v>1233</v>
      </c>
      <c r="C28" s="29" t="s">
        <v>1355</v>
      </c>
      <c r="D28" s="27" t="str">
        <f>VLOOKUP(A28,sample.sample_class!A:C,2,FALSE)&amp;""</f>
        <v>有機材料</v>
      </c>
      <c r="E28" s="27" t="str">
        <f>VLOOKUP(A28,sample.sample_class!A:C,3,FALSE)&amp;""</f>
        <v>organic material</v>
      </c>
      <c r="F28" s="27" t="str">
        <f>VLOOKUP(B28,dict.term!A:G,2,FALSE)&amp;""</f>
        <v>SMILES String</v>
      </c>
      <c r="G28" s="27" t="str">
        <f>VLOOKUP(B28,dict.term!A:G,3,FALSE)&amp;""</f>
        <v>SMILES String</v>
      </c>
      <c r="H28" s="27" t="str">
        <f>VLOOKUP(B28,dict.term!A:G,4,FALSE)&amp;""</f>
        <v>SMILES Stringを入力してください</v>
      </c>
      <c r="I28" s="27" t="str">
        <f>VLOOKUP(B28,dict.term!A:G,5,FALSE)&amp;""</f>
        <v>Please enter SMILES String</v>
      </c>
      <c r="J28" s="27" t="str">
        <f>VLOOKUP(B28,dict.term!A:G,6,FALSE)&amp;""</f>
        <v>NULL</v>
      </c>
      <c r="K28" s="27" t="str">
        <f>VLOOKUP(B28,dict.term!A:G,7,FALSE)&amp;""</f>
        <v>2022-08-01 09:32:47.462801+00</v>
      </c>
      <c r="L28" s="27" t="str">
        <f t="shared" si="0"/>
        <v>有機材料/SMILES String</v>
      </c>
      <c r="M28" s="27" t="str">
        <f t="shared" si="1"/>
        <v>organic material/SMILES String</v>
      </c>
    </row>
    <row r="29" spans="1:13">
      <c r="A29" s="29" t="s">
        <v>1326</v>
      </c>
      <c r="B29" s="29" t="s">
        <v>1242</v>
      </c>
      <c r="C29" s="29" t="s">
        <v>1356</v>
      </c>
      <c r="D29" s="27" t="str">
        <f>VLOOKUP(A29,sample.sample_class!A:C,2,FALSE)&amp;""</f>
        <v>生物学的物質</v>
      </c>
      <c r="E29" s="27" t="str">
        <f>VLOOKUP(A29,sample.sample_class!A:C,3,FALSE)&amp;""</f>
        <v>biological</v>
      </c>
      <c r="F29" s="27" t="str">
        <f>VLOOKUP(B29,dict.term!A:G,2,FALSE)&amp;""</f>
        <v>試料分類</v>
      </c>
      <c r="G29" s="27" t="str">
        <f>VLOOKUP(B29,dict.term!A:G,3,FALSE)&amp;""</f>
        <v>Sample type</v>
      </c>
      <c r="H29" s="27" t="str">
        <f>VLOOKUP(B29,dict.term!A:G,4,FALSE)&amp;""</f>
        <v>試料分類を入力してください</v>
      </c>
      <c r="I29" s="27" t="str">
        <f>VLOOKUP(B29,dict.term!A:G,5,FALSE)&amp;""</f>
        <v>Please enter Sample type</v>
      </c>
      <c r="J29" s="27" t="str">
        <f>VLOOKUP(B29,dict.term!A:G,6,FALSE)&amp;""</f>
        <v>NULL</v>
      </c>
      <c r="K29" s="27" t="str">
        <f>VLOOKUP(B29,dict.term!A:G,7,FALSE)&amp;""</f>
        <v>2022-08-09 02:57:35.896387+00</v>
      </c>
      <c r="L29" s="27" t="str">
        <f t="shared" si="0"/>
        <v>生物学的物質/試料分類</v>
      </c>
      <c r="M29" s="27" t="str">
        <f t="shared" si="1"/>
        <v>biological/Sample type</v>
      </c>
    </row>
    <row r="30" spans="1:13">
      <c r="A30" s="29" t="s">
        <v>1326</v>
      </c>
      <c r="B30" s="29" t="s">
        <v>1248</v>
      </c>
      <c r="C30" s="29" t="s">
        <v>1357</v>
      </c>
      <c r="D30" s="27" t="str">
        <f>VLOOKUP(A30,sample.sample_class!A:C,2,FALSE)&amp;""</f>
        <v>生物学的物質</v>
      </c>
      <c r="E30" s="27" t="str">
        <f>VLOOKUP(A30,sample.sample_class!A:C,3,FALSE)&amp;""</f>
        <v>biological</v>
      </c>
      <c r="F30" s="27" t="str">
        <f>VLOOKUP(B30,dict.term!A:G,2,FALSE)&amp;""</f>
        <v>生物種</v>
      </c>
      <c r="G30" s="27" t="str">
        <f>VLOOKUP(B30,dict.term!A:G,3,FALSE)&amp;""</f>
        <v>Taxonomy</v>
      </c>
      <c r="H30" s="27" t="str">
        <f>VLOOKUP(B30,dict.term!A:G,4,FALSE)&amp;""</f>
        <v>生物種を入力してください</v>
      </c>
      <c r="I30" s="27" t="str">
        <f>VLOOKUP(B30,dict.term!A:G,5,FALSE)&amp;""</f>
        <v>Please enter Taxonomy</v>
      </c>
      <c r="J30" s="27" t="str">
        <f>VLOOKUP(B30,dict.term!A:G,6,FALSE)&amp;""</f>
        <v>NULL</v>
      </c>
      <c r="K30" s="27" t="str">
        <f>VLOOKUP(B30,dict.term!A:G,7,FALSE)&amp;""</f>
        <v>2022-08-09 02:57:35.896387+00</v>
      </c>
      <c r="L30" s="27" t="str">
        <f t="shared" si="0"/>
        <v>生物学的物質/生物種</v>
      </c>
      <c r="M30" s="27" t="str">
        <f t="shared" si="1"/>
        <v>biological/Taxonomy</v>
      </c>
    </row>
    <row r="31" spans="1:13">
      <c r="A31" s="29" t="s">
        <v>1326</v>
      </c>
      <c r="B31" s="29" t="s">
        <v>1253</v>
      </c>
      <c r="C31" s="29" t="s">
        <v>1358</v>
      </c>
      <c r="D31" s="27" t="str">
        <f>VLOOKUP(A31,sample.sample_class!A:C,2,FALSE)&amp;""</f>
        <v>生物学的物質</v>
      </c>
      <c r="E31" s="27" t="str">
        <f>VLOOKUP(A31,sample.sample_class!A:C,3,FALSE)&amp;""</f>
        <v>biological</v>
      </c>
      <c r="F31" s="27" t="str">
        <f>VLOOKUP(B31,dict.term!A:G,2,FALSE)&amp;""</f>
        <v>細胞株</v>
      </c>
      <c r="G31" s="27" t="str">
        <f>VLOOKUP(B31,dict.term!A:G,3,FALSE)&amp;""</f>
        <v>Cell line</v>
      </c>
      <c r="H31" s="27" t="str">
        <f>VLOOKUP(B31,dict.term!A:G,4,FALSE)&amp;""</f>
        <v>細胞株を入力してください</v>
      </c>
      <c r="I31" s="27" t="str">
        <f>VLOOKUP(B31,dict.term!A:G,5,FALSE)&amp;""</f>
        <v>Please enter Cell line</v>
      </c>
      <c r="J31" s="27" t="str">
        <f>VLOOKUP(B31,dict.term!A:G,6,FALSE)&amp;""</f>
        <v>NULL</v>
      </c>
      <c r="K31" s="27" t="str">
        <f>VLOOKUP(B31,dict.term!A:G,7,FALSE)&amp;""</f>
        <v>2022-08-09 02:57:35.896387+00</v>
      </c>
      <c r="L31" s="27" t="str">
        <f t="shared" si="0"/>
        <v>生物学的物質/細胞株</v>
      </c>
      <c r="M31" s="27" t="str">
        <f t="shared" si="1"/>
        <v>biological/Cell line</v>
      </c>
    </row>
    <row r="32" spans="1:13">
      <c r="A32" s="29" t="s">
        <v>1326</v>
      </c>
      <c r="B32" s="29" t="s">
        <v>1258</v>
      </c>
      <c r="C32" s="29" t="s">
        <v>1359</v>
      </c>
      <c r="D32" s="27" t="str">
        <f>VLOOKUP(A32,sample.sample_class!A:C,2,FALSE)&amp;""</f>
        <v>生物学的物質</v>
      </c>
      <c r="E32" s="27" t="str">
        <f>VLOOKUP(A32,sample.sample_class!A:C,3,FALSE)&amp;""</f>
        <v>biological</v>
      </c>
      <c r="F32" s="27" t="str">
        <f>VLOOKUP(B32,dict.term!A:G,2,FALSE)&amp;""</f>
        <v>タンパク名</v>
      </c>
      <c r="G32" s="27" t="str">
        <f>VLOOKUP(B32,dict.term!A:G,3,FALSE)&amp;""</f>
        <v>Protein name</v>
      </c>
      <c r="H32" s="27" t="str">
        <f>VLOOKUP(B32,dict.term!A:G,4,FALSE)&amp;""</f>
        <v>タンパク名を入力してください</v>
      </c>
      <c r="I32" s="27" t="str">
        <f>VLOOKUP(B32,dict.term!A:G,5,FALSE)&amp;""</f>
        <v>Please enter Protein name</v>
      </c>
      <c r="J32" s="27" t="str">
        <f>VLOOKUP(B32,dict.term!A:G,6,FALSE)&amp;""</f>
        <v>NULL</v>
      </c>
      <c r="K32" s="27" t="str">
        <f>VLOOKUP(B32,dict.term!A:G,7,FALSE)&amp;""</f>
        <v>2022-08-09 02:57:35.896387+00</v>
      </c>
      <c r="L32" s="27" t="str">
        <f t="shared" si="0"/>
        <v>生物学的物質/タンパク名</v>
      </c>
      <c r="M32" s="27" t="str">
        <f t="shared" si="1"/>
        <v>biological/Protein name</v>
      </c>
    </row>
    <row r="33" spans="1:13">
      <c r="A33" s="29" t="s">
        <v>1326</v>
      </c>
      <c r="B33" s="29" t="s">
        <v>1263</v>
      </c>
      <c r="C33" s="29" t="s">
        <v>1360</v>
      </c>
      <c r="D33" s="27" t="str">
        <f>VLOOKUP(A33,sample.sample_class!A:C,2,FALSE)&amp;""</f>
        <v>生物学的物質</v>
      </c>
      <c r="E33" s="27" t="str">
        <f>VLOOKUP(A33,sample.sample_class!A:C,3,FALSE)&amp;""</f>
        <v>biological</v>
      </c>
      <c r="F33" s="27" t="str">
        <f>VLOOKUP(B33,dict.term!A:G,2,FALSE)&amp;""</f>
        <v>遺伝子名</v>
      </c>
      <c r="G33" s="27" t="str">
        <f>VLOOKUP(B33,dict.term!A:G,3,FALSE)&amp;""</f>
        <v>Gene name</v>
      </c>
      <c r="H33" s="27" t="str">
        <f>VLOOKUP(B33,dict.term!A:G,4,FALSE)&amp;""</f>
        <v>遺伝子名を入力してください</v>
      </c>
      <c r="I33" s="27" t="str">
        <f>VLOOKUP(B33,dict.term!A:G,5,FALSE)&amp;""</f>
        <v>Please enter Gene name</v>
      </c>
      <c r="J33" s="27" t="str">
        <f>VLOOKUP(B33,dict.term!A:G,6,FALSE)&amp;""</f>
        <v>NULL</v>
      </c>
      <c r="K33" s="27" t="str">
        <f>VLOOKUP(B33,dict.term!A:G,7,FALSE)&amp;""</f>
        <v>2022-08-09 02:57:35.896387+00</v>
      </c>
      <c r="L33" s="27" t="str">
        <f t="shared" si="0"/>
        <v>生物学的物質/遺伝子名</v>
      </c>
      <c r="M33" s="27" t="str">
        <f t="shared" si="1"/>
        <v>biological/Gene name</v>
      </c>
    </row>
    <row r="34" spans="1:13">
      <c r="A34" s="29" t="s">
        <v>1326</v>
      </c>
      <c r="B34" s="29" t="s">
        <v>1268</v>
      </c>
      <c r="C34" s="29" t="s">
        <v>1361</v>
      </c>
      <c r="D34" s="27" t="str">
        <f>VLOOKUP(A34,sample.sample_class!A:C,2,FALSE)&amp;""</f>
        <v>生物学的物質</v>
      </c>
      <c r="E34" s="27" t="str">
        <f>VLOOKUP(A34,sample.sample_class!A:C,3,FALSE)&amp;""</f>
        <v>biological</v>
      </c>
      <c r="F34" s="27" t="str">
        <f>VLOOKUP(B34,dict.term!A:G,2,FALSE)&amp;""</f>
        <v>NCBIアクセッション番号</v>
      </c>
      <c r="G34" s="27" t="str">
        <f>VLOOKUP(B34,dict.term!A:G,3,FALSE)&amp;""</f>
        <v>NCBI accession number</v>
      </c>
      <c r="H34" s="27" t="str">
        <f>VLOOKUP(B34,dict.term!A:G,4,FALSE)&amp;""</f>
        <v>NCBIアクセッション番号を入力してください</v>
      </c>
      <c r="I34" s="27" t="str">
        <f>VLOOKUP(B34,dict.term!A:G,5,FALSE)&amp;""</f>
        <v>Please enter NCBI accession number</v>
      </c>
      <c r="J34" s="27" t="str">
        <f>VLOOKUP(B34,dict.term!A:G,6,FALSE)&amp;""</f>
        <v>NULL</v>
      </c>
      <c r="K34" s="27" t="str">
        <f>VLOOKUP(B34,dict.term!A:G,7,FALSE)&amp;""</f>
        <v>2022-08-09 02:57:35.896387+00</v>
      </c>
      <c r="L34" s="27" t="str">
        <f t="shared" si="0"/>
        <v>生物学的物質/NCBIアクセッション番号</v>
      </c>
      <c r="M34" s="27" t="str">
        <f t="shared" si="1"/>
        <v>biological/NCBI accession number</v>
      </c>
    </row>
    <row r="35" spans="1:13">
      <c r="A35" s="29" t="s">
        <v>1309</v>
      </c>
      <c r="B35" s="29" t="s">
        <v>1279</v>
      </c>
      <c r="C35" s="29" t="s">
        <v>1362</v>
      </c>
      <c r="D35" s="27" t="str">
        <f>VLOOKUP(A35,sample.sample_class!A:C,2,FALSE)&amp;""</f>
        <v>有機材料</v>
      </c>
      <c r="E35" s="27" t="str">
        <f>VLOOKUP(A35,sample.sample_class!A:C,3,FALSE)&amp;""</f>
        <v>organic material</v>
      </c>
      <c r="F35" s="27" t="str">
        <f>VLOOKUP(B35,dict.term!A:G,2,FALSE)&amp;""</f>
        <v>InChI</v>
      </c>
      <c r="G35" s="27" t="str">
        <f>VLOOKUP(B35,dict.term!A:G,3,FALSE)&amp;""</f>
        <v>InChI</v>
      </c>
      <c r="H35" s="27" t="str">
        <f>VLOOKUP(B35,dict.term!A:G,4,FALSE)&amp;""</f>
        <v>InChIを入力してください</v>
      </c>
      <c r="I35" s="27" t="str">
        <f>VLOOKUP(B35,dict.term!A:G,5,FALSE)&amp;""</f>
        <v>Please enter InChI</v>
      </c>
      <c r="J35" s="27" t="str">
        <f>VLOOKUP(B35,dict.term!A:G,6,FALSE)&amp;""</f>
        <v>NULL</v>
      </c>
      <c r="K35" s="27" t="str">
        <f>VLOOKUP(B35,dict.term!A:G,7,FALSE)&amp;""</f>
        <v>2022-08-01 09:32:47.462801+00</v>
      </c>
      <c r="L35" s="27" t="str">
        <f t="shared" si="0"/>
        <v>有機材料/InChI</v>
      </c>
      <c r="M35" s="27" t="str">
        <f t="shared" si="1"/>
        <v>organic material/InChI</v>
      </c>
    </row>
    <row r="36" spans="1:13">
      <c r="A36" s="29" t="s">
        <v>1309</v>
      </c>
      <c r="B36" s="29" t="s">
        <v>1238</v>
      </c>
      <c r="C36" s="29" t="s">
        <v>1363</v>
      </c>
      <c r="D36" s="27" t="str">
        <f>VLOOKUP(A36,sample.sample_class!A:C,2,FALSE)&amp;""</f>
        <v>有機材料</v>
      </c>
      <c r="E36" s="27" t="str">
        <f>VLOOKUP(A36,sample.sample_class!A:C,3,FALSE)&amp;""</f>
        <v>organic material</v>
      </c>
      <c r="F36" s="27" t="str">
        <f>VLOOKUP(B36,dict.term!A:G,2,FALSE)&amp;""</f>
        <v>InChI key</v>
      </c>
      <c r="G36" s="27" t="str">
        <f>VLOOKUP(B36,dict.term!A:G,3,FALSE)&amp;""</f>
        <v>InChI key</v>
      </c>
      <c r="H36" s="27" t="str">
        <f>VLOOKUP(B36,dict.term!A:G,4,FALSE)&amp;""</f>
        <v>InChI keyを入力してください</v>
      </c>
      <c r="I36" s="27" t="str">
        <f>VLOOKUP(B36,dict.term!A:G,5,FALSE)&amp;""</f>
        <v>Please enter InChI key</v>
      </c>
      <c r="J36" s="27" t="str">
        <f>VLOOKUP(B36,dict.term!A:G,6,FALSE)&amp;""</f>
        <v>NULL</v>
      </c>
      <c r="K36" s="27" t="str">
        <f>VLOOKUP(B36,dict.term!A:G,7,FALSE)&amp;""</f>
        <v>2022-08-01 09:32:47.462801+00</v>
      </c>
      <c r="L36" s="27" t="str">
        <f t="shared" si="0"/>
        <v>有機材料/InChI key</v>
      </c>
      <c r="M36" s="27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2026-04-14T02:24:31Z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